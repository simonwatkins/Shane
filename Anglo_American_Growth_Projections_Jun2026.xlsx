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7.xml" ContentType="application/vnd.openxmlformats-officedocument.drawingml.chart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6.xml" ContentType="application/vnd.ms-office.chartcolorstyle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olors7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Dashboard" sheetId="3" state="visible" r:id="rId5"/>
    <sheet name="Assumptions" sheetId="4" state="visible" r:id="rId6"/>
    <sheet name="Base" sheetId="5" state="visible" r:id="rId7"/>
    <sheet name="Bull" sheetId="6" state="visible" r:id="rId8"/>
    <sheet name="Bear" sheetId="7" state="visible" r:id="rId9"/>
    <sheet name="Sensitivity" sheetId="8" state="visible" r:id="rId10"/>
    <sheet name="Teck overlay" sheetId="9" state="visible" r:id="rId11"/>
    <sheet name="Sourc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<sst xmlns="http://schemas.openxmlformats.org/spreadsheetml/2006/main" count="536" uniqueCount="224">
  <si>
    <t xml:space="preserve">ANGLO AMERICAN plc (LSE: AAL / JSE: AGL)</t>
  </si>
  <si>
    <t xml:space="preserve">3-Year Growth Projections &amp; Scenario Model — FY2026e to FY2028e</t>
  </si>
  <si>
    <t xml:space="preserve">Prepared for: Investment Committee</t>
  </si>
  <si>
    <t xml:space="preserve">Prepared: 14 June 2026   |   Reporting currency: USD</t>
  </si>
  <si>
    <t xml:space="preserve">Basis: Standalone Anglo American plc, with Anglo Teck merger as a separate overlay</t>
  </si>
  <si>
    <t xml:space="preserve">Tabs:</t>
  </si>
  <si>
    <t xml:space="preserve">Summary</t>
  </si>
  <si>
    <t xml:space="preserve">Bull / Base / Bear EBITDA, FCF, net debt, EPS, valuation</t>
  </si>
  <si>
    <t xml:space="preserve">Dashboard</t>
  </si>
  <si>
    <t xml:space="preserve">Visual charts — EBITDA fan, net debt, FCF, EPS, segment split, copper sensitivity &amp; deck</t>
  </si>
  <si>
    <t xml:space="preserve">Assumptions</t>
  </si>
  <si>
    <t xml:space="preserve">All inputs — commodity decks, oil/energy overlay, volumes, costs, finance, disposals, Teck terms</t>
  </si>
  <si>
    <t xml:space="preserve">Base / Bull / Bear</t>
  </si>
  <si>
    <t xml:space="preserve">Full scenario engines: price × volume EBITDA build → FCF → net debt</t>
  </si>
  <si>
    <t xml:space="preserve">Sensitivity</t>
  </si>
  <si>
    <t xml:space="preserve">Group EBITDA vs copper and iron ore price</t>
  </si>
  <si>
    <t xml:space="preserve">Teck overlay</t>
  </si>
  <si>
    <t xml:space="preserve">Illustrative Anglo Teck pro-forma EBITDA</t>
  </si>
  <si>
    <t xml:space="preserve">Sources</t>
  </si>
  <si>
    <t xml:space="preserve">Primary and external references</t>
  </si>
  <si>
    <t xml:space="preserve">DISCLAIMER: For informational purposes only; not investment advice and not a forecast of actual results. Anglo American reports in USD. Scenario figures are analyst assumptions marked (e) where estimated. Share prices obtained via search may be delayed; there is no live JSE/LME feed. Model is fully formula-driven — change blue inputs on 'Assumptions' to re-run.</t>
  </si>
  <si>
    <t xml:space="preserve">Anglo American — Scenario Summary (FY2026e–FY2028e)</t>
  </si>
  <si>
    <t xml:space="preserve">Standalone Anglo American plc. Teck merger shown separately on 'Teck overlay'. $m unless noted. (e)=estimate.</t>
  </si>
  <si>
    <t xml:space="preserve">Group underlying EBITDA ($m)</t>
  </si>
  <si>
    <t xml:space="preserve">Scenario</t>
  </si>
  <si>
    <t xml:space="preserve">2025A</t>
  </si>
  <si>
    <t xml:space="preserve">2026e</t>
  </si>
  <si>
    <t xml:space="preserve">2027e</t>
  </si>
  <si>
    <t xml:space="preserve">2028e</t>
  </si>
  <si>
    <t xml:space="preserve">Bull</t>
  </si>
  <si>
    <t xml:space="preserve">Base</t>
  </si>
  <si>
    <t xml:space="preserve">Bear</t>
  </si>
  <si>
    <t xml:space="preserve">Attributable free cash flow ($m)</t>
  </si>
  <si>
    <t xml:space="preserve">Closing net debt / (net cash) ($m)</t>
  </si>
  <si>
    <t xml:space="preserve">Underlying EPS (cents) (e)</t>
  </si>
  <si>
    <t xml:space="preserve">Net debt / EBITDA (x)</t>
  </si>
  <si>
    <t xml:space="preserve">VALUATION CROSS-CHECK (on current EV)</t>
  </si>
  <si>
    <t xml:space="preserve">Equity value ($m) (e)</t>
  </si>
  <si>
    <t xml:space="preserve">Current enterprise value ($m) (e)</t>
  </si>
  <si>
    <t xml:space="preserve">EV / EBITDA — 2026e (Bull/Base/Bear)</t>
  </si>
  <si>
    <t xml:space="preserve">Note: equity uses LSE close 3,804p x 1,127m sh x GBPUSD (e). EV holds current net debt.</t>
  </si>
  <si>
    <t xml:space="preserve">Anglo American — Scenario Dashboard</t>
  </si>
  <si>
    <t xml:space="preserve">Bull / Base / Bear, FY2025A–FY2028e. Charts read live from the model — change blue inputs on 'Assumptions' to update.</t>
  </si>
  <si>
    <t xml:space="preserve">Chart data — FY2025 segment ($m)</t>
  </si>
  <si>
    <t xml:space="preserve">Copper</t>
  </si>
  <si>
    <t xml:space="preserve">Premium Iron Ore</t>
  </si>
  <si>
    <t xml:space="preserve">Manganese</t>
  </si>
  <si>
    <t xml:space="preserve">Crop Nutrients</t>
  </si>
  <si>
    <t xml:space="preserve">De Beers</t>
  </si>
  <si>
    <t xml:space="preserve">Copper $/t</t>
  </si>
  <si>
    <t xml:space="preserve">Anglo American plc (AAL / AGL) — Model Assumptions</t>
  </si>
  <si>
    <t xml:space="preserve">All figures illustrative. Blue = input (change for scenarios). Reporting currency USD ($m) unless noted. Prepared 14 June 2026.</t>
  </si>
  <si>
    <t xml:space="preserve">Numbers are scenario assumptions set by the analyst, anchored to FY2025 actuals + 2026-28 guidance + external commodity forecasts. Marked (e) where estimated.</t>
  </si>
  <si>
    <t xml:space="preserve">Assumption</t>
  </si>
  <si>
    <t xml:space="preserve">Unit</t>
  </si>
  <si>
    <t xml:space="preserve">COPPER — realised price (LME-linked), $/tonne</t>
  </si>
  <si>
    <t xml:space="preserve">Copper price — Bull</t>
  </si>
  <si>
    <t xml:space="preserve">$/t</t>
  </si>
  <si>
    <t xml:space="preserve">Copper price — Base</t>
  </si>
  <si>
    <t xml:space="preserve">Copper price — Bear</t>
  </si>
  <si>
    <t xml:space="preserve">COPPER — production (attributable), kt</t>
  </si>
  <si>
    <t xml:space="preserve">Copper volume — Bull</t>
  </si>
  <si>
    <t xml:space="preserve">kt</t>
  </si>
  <si>
    <t xml:space="preserve">Copper volume — Base</t>
  </si>
  <si>
    <t xml:space="preserve">Copper volume — Bear</t>
  </si>
  <si>
    <t xml:space="preserve">Copper unit cash cost (base, pre-energy)</t>
  </si>
  <si>
    <t xml:space="preserve">PREMIUM IRON ORE — realised price (FOB), $/tonne</t>
  </si>
  <si>
    <t xml:space="preserve">Iron ore price — Bull</t>
  </si>
  <si>
    <t xml:space="preserve">Iron ore price — Base</t>
  </si>
  <si>
    <t xml:space="preserve">Iron ore price — Bear</t>
  </si>
  <si>
    <t xml:space="preserve">PREMIUM IRON ORE — production, Mt</t>
  </si>
  <si>
    <t xml:space="preserve">Iron ore volume — Bull</t>
  </si>
  <si>
    <t xml:space="preserve">Mt</t>
  </si>
  <si>
    <t xml:space="preserve">Iron ore volume — Base</t>
  </si>
  <si>
    <t xml:space="preserve">Iron ore volume — Bear</t>
  </si>
  <si>
    <t xml:space="preserve">Iron ore unit cash cost (base, pre-energy)</t>
  </si>
  <si>
    <t xml:space="preserve">IRAN WAR / ENERGY OVERLAY — oil price &amp; cost sensitivity</t>
  </si>
  <si>
    <t xml:space="preserve">Brent oil price (avg) — Bull (de-escalates)</t>
  </si>
  <si>
    <t xml:space="preserve">$/bbl</t>
  </si>
  <si>
    <t xml:space="preserve">Brent oil price (avg) — Base (fragile truce)</t>
  </si>
  <si>
    <t xml:space="preserve">Brent oil price (avg) — Bear (war into H2+)</t>
  </si>
  <si>
    <t xml:space="preserve">Baseline oil (pre-war, cost calib.)</t>
  </si>
  <si>
    <t xml:space="preserve">Copper cost sensitivity</t>
  </si>
  <si>
    <t xml:space="preserve">$/t per $10/bbl</t>
  </si>
  <si>
    <t xml:space="preserve">Iron ore cost sensitivity</t>
  </si>
  <si>
    <t xml:space="preserve">OTHER SEGMENTS — underlying EBITDA, $m (scenario-flat)</t>
  </si>
  <si>
    <t xml:space="preserve">Manganese (40% Samancor JV)</t>
  </si>
  <si>
    <t xml:space="preserve">$m</t>
  </si>
  <si>
    <t xml:space="preserve">Crop Nutrients / Woodsmith (pre-prod.)</t>
  </si>
  <si>
    <t xml:space="preserve">De Beers (in disposal; exits FY26)</t>
  </si>
  <si>
    <t xml:space="preserve">Corporate &amp; other</t>
  </si>
  <si>
    <t xml:space="preserve">CAPEX &amp; FINANCE</t>
  </si>
  <si>
    <t xml:space="preserve">Capex (continuing ops)</t>
  </si>
  <si>
    <t xml:space="preserve">Depreciation &amp; amortisation (e)</t>
  </si>
  <si>
    <t xml:space="preserve">Interest rate on opening net debt</t>
  </si>
  <si>
    <t xml:space="preserve">%</t>
  </si>
  <si>
    <t xml:space="preserve">Cash tax rate (on EBIT less interest)</t>
  </si>
  <si>
    <t xml:space="preserve">Minority cash share (of EBITDA)</t>
  </si>
  <si>
    <t xml:space="preserve">Working capital / other (annual)</t>
  </si>
  <si>
    <t xml:space="preserve">Underlying earnings factor (e)</t>
  </si>
  <si>
    <t xml:space="preserve">x</t>
  </si>
  <si>
    <t xml:space="preserve">Shares in issue</t>
  </si>
  <si>
    <t xml:space="preserve">m</t>
  </si>
  <si>
    <t xml:space="preserve">Ordinary dividend payout</t>
  </si>
  <si>
    <t xml:space="preserve">Opening net debt (end-FY2025)</t>
  </si>
  <si>
    <t xml:space="preserve">PORTFOLIO DISPOSAL PROCEEDS — net cash in, $m</t>
  </si>
  <si>
    <t xml:space="preserve">Steelmaking coal (Dhilmar)</t>
  </si>
  <si>
    <t xml:space="preserve">Nickel (MMG)</t>
  </si>
  <si>
    <t xml:space="preserve">De Beers (~85% stake) — Bull</t>
  </si>
  <si>
    <t xml:space="preserve">De Beers (~85% stake) — Base</t>
  </si>
  <si>
    <t xml:space="preserve">De Beers (~85% stake) — Bear</t>
  </si>
  <si>
    <t xml:space="preserve">VALUATION &amp; FX (for cross-check)</t>
  </si>
  <si>
    <t xml:space="preserve">Share price (LSE close, 12 Jun 2026)</t>
  </si>
  <si>
    <t xml:space="preserve">GBp</t>
  </si>
  <si>
    <t xml:space="preserve">GBP/USD (e)</t>
  </si>
  <si>
    <t xml:space="preserve">Net debt for current EV</t>
  </si>
  <si>
    <t xml:space="preserve">ANGLO TECK MERGER — terms (overlay)</t>
  </si>
  <si>
    <t xml:space="preserve">Exchange ratio (Anglo shares per Teck)</t>
  </si>
  <si>
    <t xml:space="preserve">Ownership — Anglo holders</t>
  </si>
  <si>
    <t xml:space="preserve">Ownership — Teck holders</t>
  </si>
  <si>
    <t xml:space="preserve">Special dividend to Anglo holders</t>
  </si>
  <si>
    <t xml:space="preserve">Run-rate pre-tax synergies (by yr4)</t>
  </si>
  <si>
    <t xml:space="preserve">One-off cost to achieve synergies</t>
  </si>
  <si>
    <t xml:space="preserve">Teck standalone EBITDA (e, FY24 ~C$2.93bn)</t>
  </si>
  <si>
    <t xml:space="preserve">Teck net debt (e)</t>
  </si>
  <si>
    <t xml:space="preserve">Anglo American — Base case</t>
  </si>
  <si>
    <t xml:space="preserve">$m unless noted. Black = formula; green = link to Assumptions. EBITDA engine: Price x Volume less cash costs (incl. Iran energy overlay).</t>
  </si>
  <si>
    <t xml:space="preserve">Line</t>
  </si>
  <si>
    <t xml:space="preserve">COPPER</t>
  </si>
  <si>
    <t xml:space="preserve">Production</t>
  </si>
  <si>
    <t xml:space="preserve">Realised price</t>
  </si>
  <si>
    <t xml:space="preserve">Revenue</t>
  </si>
  <si>
    <t xml:space="preserve">Unit cash cost (base)</t>
  </si>
  <si>
    <t xml:space="preserve">Energy overlay (Iran)</t>
  </si>
  <si>
    <t xml:space="preserve">Total unit cash cost</t>
  </si>
  <si>
    <t xml:space="preserve">Cash costs</t>
  </si>
  <si>
    <t xml:space="preserve">Copper EBITDA</t>
  </si>
  <si>
    <t xml:space="preserve">PREMIUM IRON ORE</t>
  </si>
  <si>
    <t xml:space="preserve">Iron ore EBITDA</t>
  </si>
  <si>
    <t xml:space="preserve">OTHER SEGMENTS</t>
  </si>
  <si>
    <t xml:space="preserve">Crop Nutrients / Woodsmith</t>
  </si>
  <si>
    <t xml:space="preserve">GROUP UNDERLYING EBITDA</t>
  </si>
  <si>
    <t xml:space="preserve">  EBITDA growth (YoY)</t>
  </si>
  <si>
    <t xml:space="preserve">-</t>
  </si>
  <si>
    <t xml:space="preserve">CASH FLOW &amp; NET DEBT</t>
  </si>
  <si>
    <t xml:space="preserve">Less: D&amp;A (e)</t>
  </si>
  <si>
    <t xml:space="preserve">Underlying EBIT</t>
  </si>
  <si>
    <t xml:space="preserve">Opening net debt</t>
  </si>
  <si>
    <t xml:space="preserve">Net interest (e)</t>
  </si>
  <si>
    <t xml:space="preserve">Cash tax (e)</t>
  </si>
  <si>
    <t xml:space="preserve">Minorities (e)</t>
  </si>
  <si>
    <t xml:space="preserve">Working capital / other</t>
  </si>
  <si>
    <t xml:space="preserve">Less: capex</t>
  </si>
  <si>
    <t xml:space="preserve">Attributable free cash flow</t>
  </si>
  <si>
    <t xml:space="preserve">Underlying earnings (e)</t>
  </si>
  <si>
    <t xml:space="preserve">Underlying EPS (e)</t>
  </si>
  <si>
    <t xml:space="preserve">c</t>
  </si>
  <si>
    <t xml:space="preserve">Ordinary dividend</t>
  </si>
  <si>
    <t xml:space="preserve">Portfolio disposal proceeds</t>
  </si>
  <si>
    <t xml:space="preserve">Closing net debt / (net cash)</t>
  </si>
  <si>
    <t xml:space="preserve">Net debt / EBITDA</t>
  </si>
  <si>
    <t xml:space="preserve">Anglo American — Bull case</t>
  </si>
  <si>
    <t xml:space="preserve">Anglo American — Bear case</t>
  </si>
  <si>
    <t xml:space="preserve">Sensitivity — Group EBITDA to commodity prices (FY2026e)</t>
  </si>
  <si>
    <t xml:space="preserve">Holds Base-case volumes, costs and other segments for 2026e; flexes one price at a time. $m.</t>
  </si>
  <si>
    <t xml:space="preserve">Copper price ($/t)</t>
  </si>
  <si>
    <t xml:space="preserve">Copper EBITDA ($m)</t>
  </si>
  <si>
    <t xml:space="preserve">Group EBITDA ($m)</t>
  </si>
  <si>
    <t xml:space="preserve">Iron ore price ($/t)</t>
  </si>
  <si>
    <t xml:space="preserve">Iron ore EBITDA ($m)</t>
  </si>
  <si>
    <t xml:space="preserve">Anglo Teck — merger overlay (illustrative, pre-completion)</t>
  </si>
  <si>
    <t xml:space="preserve">Not consolidated guidance. Standalone Anglo (Base) plus Teck contribution + synergies. Close expected Sep 2026–Mar 2027. $m unless noted.</t>
  </si>
  <si>
    <t xml:space="preserve">KEY TERMS</t>
  </si>
  <si>
    <t xml:space="preserve">Exchange ratio (Anglo sh / Teck sh)</t>
  </si>
  <si>
    <t xml:space="preserve">Special dividend to Anglo holders ($m)</t>
  </si>
  <si>
    <t xml:space="preserve">Run-rate pre-tax synergies, by yr4 ($m)</t>
  </si>
  <si>
    <t xml:space="preserve">One-off cost to achieve ($m)</t>
  </si>
  <si>
    <t xml:space="preserve">ILLUSTRATIVE PRO-FORMA EBITDA</t>
  </si>
  <si>
    <t xml:space="preserve">Anglo standalone EBITDA (Base)</t>
  </si>
  <si>
    <t xml:space="preserve">Teck EBITDA contribution (e)</t>
  </si>
  <si>
    <t xml:space="preserve">Synergy phase-in (e: 20% / 50%)</t>
  </si>
  <si>
    <t xml:space="preserve">Pro-forma Anglo Teck EBITDA (e)</t>
  </si>
  <si>
    <t xml:space="preserve">Combined copper production (~Mt): 1.2Mt now → ~1.35Mt 2027. Copper &gt;70% of group. HQ Vancouver; primary listing LSE.</t>
  </si>
  <si>
    <t xml:space="preserve">Special dividend ($4.5bn) is a one-off cash return funded partly by disposals; raises pro-forma net debt at completion, offset by Teck's balance sheet.</t>
  </si>
  <si>
    <t xml:space="preserve">Description</t>
  </si>
  <si>
    <t xml:space="preserve">URL</t>
  </si>
  <si>
    <t xml:space="preserve">Anglo American FY2025 results (RNS, Investegate)</t>
  </si>
  <si>
    <t xml:space="preserve">https://www.investegate.co.uk/announcement/rns/anglo-american--aal/anglo-american-full-year-2025-results/9439268</t>
  </si>
  <si>
    <t xml:space="preserve">Anglo American FY2025 preliminary results PDF</t>
  </si>
  <si>
    <t xml:space="preserve">https://www.angloamerican.com/~/media/Files/A/Anglo-American-Group-v9/PLC/media/press-release/releases/2026pr/anglo-american-preliminary-results-for-the-year-ended-31-december-2025.pdf</t>
  </si>
  <si>
    <t xml:space="preserve">Anglo American Q4 2025 production report (guidance)</t>
  </si>
  <si>
    <t xml:space="preserve">https://www.angloamerican.com/media/press-releases/2026/05-02-2026</t>
  </si>
  <si>
    <t xml:space="preserve">Mining Weekly — 2026 copper guidance cut (5 Feb 2026)</t>
  </si>
  <si>
    <t xml:space="preserve">https://www.miningweekly.com/article/anglo-lowers-2026-copper-production-guidance-following-lower-2025-output-2026-02-05</t>
  </si>
  <si>
    <t xml:space="preserve">Anglo Teck merger of equals (announcement, 9 Sep 2025)</t>
  </si>
  <si>
    <t xml:space="preserve">https://www.angloamerican.com/media/press-releases/2025/09-09-2025</t>
  </si>
  <si>
    <t xml:space="preserve">Anglo Teck — SEC Exhibit 99.1 (synergies/cost to achieve)</t>
  </si>
  <si>
    <t xml:space="preserve">https://www.sec.gov/Archives/edgar/data/886986/000095014225002410/eh250676348_ex9901.htm</t>
  </si>
  <si>
    <t xml:space="preserve">Anglo Teck merger — completion timing (Mining.com)</t>
  </si>
  <si>
    <t xml:space="preserve">https://www.mining.com/web/anglo-american-expects-final-approval-for-teck-merger-around-q3/</t>
  </si>
  <si>
    <t xml:space="preserve">Anglo — sell coal to Dhilmar up to $3.88bn (Reuters, 18 May 2026)</t>
  </si>
  <si>
    <t xml:space="preserve">https://www.reuters.com/business/energy/anglo-american-sell-australian-coal-mines-up-388-billion-2026-05-18/</t>
  </si>
  <si>
    <t xml:space="preserve">De Beers sale process / Botswana (Mining.com, 5 Jun 2026)</t>
  </si>
  <si>
    <t xml:space="preserve">https://www.mining.com/anglo-american-draws-botswana-into-5b-de-beers-sale-talks/</t>
  </si>
  <si>
    <t xml:space="preserve">World Bank Commodity Markets Outlook, April 2026</t>
  </si>
  <si>
    <t xml:space="preserve">https://www.worldbank.org/en/news/press-release/2026/04/28/commodity-markets-outlook-april-2026-press-release</t>
  </si>
  <si>
    <t xml:space="preserve">World Bank — metals to strengthen (copper)</t>
  </si>
  <si>
    <t xml:space="preserve">https://blogs.worldbank.org/en/opendata/metal-prices-poised-to-strengthen-further</t>
  </si>
  <si>
    <t xml:space="preserve">World Bank — fertilizer/potash &amp; Strait of Hormuz</t>
  </si>
  <si>
    <t xml:space="preserve">https://blogs.worldbank.org/en/opendata/fertilizer-prices-surge-as-strait-of-hormuz-disruptions-tighten-</t>
  </si>
  <si>
    <t xml:space="preserve">Goldman Sachs — copper outlook 2026</t>
  </si>
  <si>
    <t xml:space="preserve">https://www.goldmansachs.com/insights/articles/copper-prices-forecast-to-decline-from-record-highs-in-2026</t>
  </si>
  <si>
    <t xml:space="preserve">Fitch — iron ore &amp; coking coal forecasts</t>
  </si>
  <si>
    <t xml:space="preserve">https://gmk.center/en/news/fitch-ratings-has-raised-its-price-outlook-for-iron-ore-and-coking-coal-for-2026/</t>
  </si>
  <si>
    <t xml:space="preserve">2026 Strait of Hormuz crisis (timeline)</t>
  </si>
  <si>
    <t xml:space="preserve">https://en.wikipedia.org/wiki/2026_Strait_of_Hormuz_crisis</t>
  </si>
  <si>
    <t xml:space="preserve">Oil prices / ceasefire (CNBC, 29 May 2026)</t>
  </si>
  <si>
    <t xml:space="preserve">https://www.cnbc.com/2026/05/29/oil-prices-iran-ceasefire-us-trump-strait-hormuz-energy-costs.html</t>
  </si>
  <si>
    <t xml:space="preserve">Rio Tinto — diesel cost sensitivity read-across (Mining.com)</t>
  </si>
  <si>
    <t xml:space="preserve">https://www.mining.com/web/rio-tintos-first-quarter-iron-ore-sales-rise-2/</t>
  </si>
  <si>
    <t xml:space="preserve">Anglo American Q1 2026 production (guidance maintained)</t>
  </si>
  <si>
    <t xml:space="preserve">https://www.angloamerican.com/media/press-releases/2026/28-04-2026</t>
  </si>
  <si>
    <t xml:space="preserve">LSE AAL share price (12 Jun 2026)</t>
  </si>
  <si>
    <t xml:space="preserve">https://www.lse.co.uk/SharePrice.html?shareprice=AAL&amp;share=Anglo-american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</si>
</sst>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#,##0.0"/>
    <numFmt numFmtId="167" formatCode="0.0\x"/>
    <numFmt numFmtId="168" formatCode="#,##0"/>
    <numFmt numFmtId="169" formatCode="0.0%"/>
    <numFmt numFmtId="170" formatCode="0.000"/>
    <numFmt numFmtId="171" formatCode="0.0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2"/>
      <color rgb="FF40404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3864"/>
        <bgColor rgb="FF33339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78787"/>
      <rgbColor rgb="FF5B9BD5"/>
      <rgbColor rgb="FF993366"/>
      <rgbColor rgb="FFFFF2CC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4F81BD"/>
      <rgbColor rgb="FFA5A5A5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Group underlying EBITDA by scenario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Summary!A6</c:f>
              <c:strCache>
                <c:ptCount val="1"/>
                <c:pt idx="0">
                  <c:v>Bull</c:v>
                </c:pt>
              </c:strCache>
            </c:strRef>
          </c:tx>
          <c:spPr>
            <a:solidFill>
              <a:srgbClr val="548235"/>
            </a:solidFill>
            <a:ln w="2844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Summary!$B$5:$E$5</c:f>
              <c:strCache>
                <c:ptCount val="4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</c:strCache>
            </c:strRef>
          </c:cat>
          <c:val>
            <c:numRef>
              <c:f>Summary!$B$6:$E$6</c:f>
              <c:numCache>
                <c:formatCode>#,##0;\(#,##0\);\-</c:formatCode>
                <c:ptCount val="4"/>
                <c:pt idx="0">
                  <c:v>6420.58</c:v>
                </c:pt>
                <c:pt idx="1">
                  <c:v>9490.665</c:v>
                </c:pt>
                <c:pt idx="2">
                  <c:v>10637</c:v>
                </c:pt>
                <c:pt idx="3">
                  <c:v>11386.5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Summary!A7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2E75B6"/>
            </a:solidFill>
            <a:ln w="2844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Summary!$B$5:$E$5</c:f>
              <c:strCache>
                <c:ptCount val="4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</c:strCache>
            </c:strRef>
          </c:cat>
          <c:val>
            <c:numRef>
              <c:f>Summary!$B$7:$E$7</c:f>
              <c:numCache>
                <c:formatCode>#,##0;\(#,##0\);\-</c:formatCode>
                <c:ptCount val="4"/>
                <c:pt idx="0">
                  <c:v>6420.58</c:v>
                </c:pt>
                <c:pt idx="1">
                  <c:v>7009.27</c:v>
                </c:pt>
                <c:pt idx="2">
                  <c:v>6360.24</c:v>
                </c:pt>
                <c:pt idx="3">
                  <c:v>6734.54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Summary!A8</c:f>
              <c:strCache>
                <c:ptCount val="1"/>
                <c:pt idx="0">
                  <c:v>Bear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round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Summary!$B$5:$E$5</c:f>
              <c:strCache>
                <c:ptCount val="4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</c:strCache>
            </c:strRef>
          </c:cat>
          <c:val>
            <c:numRef>
              <c:f>Summary!$B$8:$E$8</c:f>
              <c:numCache>
                <c:formatCode>#,##0;\(#,##0\);\-</c:formatCode>
                <c:ptCount val="4"/>
                <c:pt idx="0">
                  <c:v>6420.58</c:v>
                </c:pt>
                <c:pt idx="1">
                  <c:v>4803.8</c:v>
                </c:pt>
                <c:pt idx="2">
                  <c:v>3552.37</c:v>
                </c:pt>
                <c:pt idx="3">
                  <c:v>3419.47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85621172"/>
        <c:axId val="16258254"/>
      </c:lineChart>
      <c:catAx>
        <c:axId val="856211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258254"/>
        <c:crosses val="autoZero"/>
        <c:auto val="1"/>
        <c:lblAlgn val="ctr"/>
        <c:lblOffset val="100"/>
        <c:noMultiLvlLbl val="0"/>
      </c:catAx>
      <c:valAx>
        <c:axId val="162582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6211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Net debt / (net cash) by scenario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Summary!A18</c:f>
              <c:strCache>
                <c:ptCount val="1"/>
                <c:pt idx="0">
                  <c:v>Bull</c:v>
                </c:pt>
              </c:strCache>
            </c:strRef>
          </c:tx>
          <c:spPr>
            <a:solidFill>
              <a:srgbClr val="548235"/>
            </a:solidFill>
            <a:ln w="2844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Summary!$B$17:$E$17</c:f>
              <c:strCache>
                <c:ptCount val="4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</c:strCache>
            </c:strRef>
          </c:cat>
          <c:val>
            <c:numRef>
              <c:f>Summary!$B$18:$E$18</c:f>
              <c:numCache>
                <c:formatCode>#,##0;\(#,##0\);\-</c:formatCode>
                <c:ptCount val="4"/>
                <c:pt idx="0">
                  <c:v>8571</c:v>
                </c:pt>
                <c:pt idx="1">
                  <c:v>2840.667388</c:v>
                </c:pt>
                <c:pt idx="2">
                  <c:v>-3655.94729562728</c:v>
                </c:pt>
                <c:pt idx="3">
                  <c:v>-7624.63849562728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Summary!A19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2E75B6"/>
            </a:solidFill>
            <a:ln w="2844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Summary!$B$17:$E$17</c:f>
              <c:strCache>
                <c:ptCount val="4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</c:strCache>
            </c:strRef>
          </c:cat>
          <c:val>
            <c:numRef>
              <c:f>Summary!$B$19:$E$19</c:f>
              <c:numCache>
                <c:formatCode>#,##0;\(#,##0\);\-</c:formatCode>
                <c:ptCount val="4"/>
                <c:pt idx="0">
                  <c:v>8571</c:v>
                </c:pt>
                <c:pt idx="1">
                  <c:v>4103.201164</c:v>
                </c:pt>
                <c:pt idx="2">
                  <c:v>522.927297178161</c:v>
                </c:pt>
                <c:pt idx="3">
                  <c:v>-1062.14435694997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Summary!A20</c:f>
              <c:strCache>
                <c:ptCount val="1"/>
                <c:pt idx="0">
                  <c:v>Bear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round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Summary!$B$17:$E$17</c:f>
              <c:strCache>
                <c:ptCount val="4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</c:strCache>
            </c:strRef>
          </c:cat>
          <c:val>
            <c:numRef>
              <c:f>Summary!$B$20:$E$20</c:f>
              <c:numCache>
                <c:formatCode>#,##0;\(#,##0\);\-</c:formatCode>
                <c:ptCount val="4"/>
                <c:pt idx="0">
                  <c:v>8571</c:v>
                </c:pt>
                <c:pt idx="1">
                  <c:v>5225.3443</c:v>
                </c:pt>
                <c:pt idx="2">
                  <c:v>3909.555940942</c:v>
                </c:pt>
                <c:pt idx="3">
                  <c:v>4119.36082169569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3108522"/>
        <c:axId val="93218113"/>
      </c:lineChart>
      <c:catAx>
        <c:axId val="231085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218113"/>
        <c:crosses val="autoZero"/>
        <c:auto val="1"/>
        <c:lblAlgn val="ctr"/>
        <c:lblOffset val="100"/>
        <c:noMultiLvlLbl val="0"/>
      </c:catAx>
      <c:valAx>
        <c:axId val="932181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1085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Attributable free cash flow by scenario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Summary!A12</c:f>
              <c:strCache>
                <c:ptCount val="1"/>
                <c:pt idx="0">
                  <c:v>Bull</c:v>
                </c:pt>
              </c:strCache>
            </c:strRef>
          </c:tx>
          <c:spPr>
            <a:solidFill>
              <a:srgbClr val="548235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Summary!$B$11:$E$11</c:f>
              <c:strCache>
                <c:ptCount val="4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</c:strCache>
            </c:strRef>
          </c:cat>
          <c:val>
            <c:numRef>
              <c:f>Summary!$B$12:$E$12</c:f>
              <c:numCache>
                <c:formatCode>#,##0;\(#,##0\);\-</c:formatCode>
                <c:ptCount val="4"/>
                <c:pt idx="0">
                  <c:v>812.3471</c:v>
                </c:pt>
                <c:pt idx="1">
                  <c:v>2437.7998</c:v>
                </c:pt>
                <c:pt idx="2">
                  <c:v>3863.41497295</c:v>
                </c:pt>
                <c:pt idx="3">
                  <c:v>4934.63</c:v>
                </c:pt>
              </c:numCache>
            </c:numRef>
          </c:val>
        </c:ser>
        <c:ser>
          <c:idx val="1"/>
          <c:order val="1"/>
          <c:tx>
            <c:strRef>
              <c:f>Summary!A13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2E75B6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Summary!$B$11:$E$11</c:f>
              <c:strCache>
                <c:ptCount val="4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</c:strCache>
            </c:strRef>
          </c:cat>
          <c:val>
            <c:numRef>
              <c:f>Summary!$B$13:$E$13</c:f>
              <c:numCache>
                <c:formatCode>#,##0;\(#,##0\);\-</c:formatCode>
                <c:ptCount val="4"/>
                <c:pt idx="0">
                  <c:v>812.3471</c:v>
                </c:pt>
                <c:pt idx="1">
                  <c:v>899.334899999999</c:v>
                </c:pt>
                <c:pt idx="2">
                  <c:v>1164.47875635</c:v>
                </c:pt>
                <c:pt idx="3">
                  <c:v>2030.80502635582</c:v>
                </c:pt>
              </c:numCache>
            </c:numRef>
          </c:val>
        </c:ser>
        <c:ser>
          <c:idx val="2"/>
          <c:order val="2"/>
          <c:tx>
            <c:strRef>
              <c:f>Summary!A14</c:f>
              <c:strCache>
                <c:ptCount val="1"/>
                <c:pt idx="0">
                  <c:v>Bear</c:v>
                </c:pt>
              </c:strCache>
            </c:strRef>
          </c:tx>
          <c:spPr>
            <a:solidFill>
              <a:srgbClr val="C00000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Summary!$B$11:$E$11</c:f>
              <c:strCache>
                <c:ptCount val="4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</c:strCache>
            </c:strRef>
          </c:cat>
          <c:val>
            <c:numRef>
              <c:f>Summary!$B$14:$E$14</c:f>
              <c:numCache>
                <c:formatCode>#,##0;\(#,##0\);\-</c:formatCode>
                <c:ptCount val="4"/>
                <c:pt idx="0">
                  <c:v>812.3471</c:v>
                </c:pt>
                <c:pt idx="1">
                  <c:v>-468.0565</c:v>
                </c:pt>
                <c:pt idx="2">
                  <c:v>-618.48101125</c:v>
                </c:pt>
                <c:pt idx="3">
                  <c:v>-151.536947785325</c:v>
                </c:pt>
              </c:numCache>
            </c:numRef>
          </c:val>
        </c:ser>
        <c:gapWidth val="70"/>
        <c:overlap val="0"/>
        <c:axId val="63642516"/>
        <c:axId val="62952390"/>
      </c:barChart>
      <c:catAx>
        <c:axId val="636425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952390"/>
        <c:crosses val="autoZero"/>
        <c:auto val="1"/>
        <c:lblAlgn val="ctr"/>
        <c:lblOffset val="100"/>
        <c:noMultiLvlLbl val="0"/>
      </c:catAx>
      <c:valAx>
        <c:axId val="629523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64251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Underlying EPS by scenario (cents)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Summary!A24</c:f>
              <c:strCache>
                <c:ptCount val="1"/>
                <c:pt idx="0">
                  <c:v>Bull</c:v>
                </c:pt>
              </c:strCache>
            </c:strRef>
          </c:tx>
          <c:spPr>
            <a:solidFill>
              <a:srgbClr val="548235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Summary!$B$23:$E$23</c:f>
              <c:strCache>
                <c:ptCount val="4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</c:strCache>
            </c:strRef>
          </c:cat>
          <c:val>
            <c:numRef>
              <c:f>Summary!$B$24:$E$24</c:f>
              <c:numCache>
                <c:formatCode>#,##0.0</c:formatCode>
                <c:ptCount val="4"/>
                <c:pt idx="0">
                  <c:v>81.2053540372671</c:v>
                </c:pt>
                <c:pt idx="1">
                  <c:v>156.935933451642</c:v>
                </c:pt>
                <c:pt idx="2">
                  <c:v>192.280454596877</c:v>
                </c:pt>
                <c:pt idx="3">
                  <c:v>214.272138420586</c:v>
                </c:pt>
              </c:numCache>
            </c:numRef>
          </c:val>
        </c:ser>
        <c:ser>
          <c:idx val="1"/>
          <c:order val="1"/>
          <c:tx>
            <c:strRef>
              <c:f>Summary!A25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2E75B6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Summary!$B$23:$E$23</c:f>
              <c:strCache>
                <c:ptCount val="4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</c:strCache>
            </c:strRef>
          </c:cat>
          <c:val>
            <c:numRef>
              <c:f>Summary!$B$25:$E$25</c:f>
              <c:numCache>
                <c:formatCode>#,##0.0</c:formatCode>
                <c:ptCount val="4"/>
                <c:pt idx="0">
                  <c:v>81.2053540372671</c:v>
                </c:pt>
                <c:pt idx="1">
                  <c:v>95.7267222715173</c:v>
                </c:pt>
                <c:pt idx="2">
                  <c:v>85.2273490523869</c:v>
                </c:pt>
                <c:pt idx="3">
                  <c:v>98.8760807958495</c:v>
                </c:pt>
              </c:numCache>
            </c:numRef>
          </c:val>
        </c:ser>
        <c:ser>
          <c:idx val="2"/>
          <c:order val="2"/>
          <c:tx>
            <c:strRef>
              <c:f>Summary!A26</c:f>
              <c:strCache>
                <c:ptCount val="1"/>
                <c:pt idx="0">
                  <c:v>Bear</c:v>
                </c:pt>
              </c:strCache>
            </c:strRef>
          </c:tx>
          <c:spPr>
            <a:solidFill>
              <a:srgbClr val="C00000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Summary!$B$23:$E$23</c:f>
              <c:strCache>
                <c:ptCount val="4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</c:strCache>
            </c:strRef>
          </c:cat>
          <c:val>
            <c:numRef>
              <c:f>Summary!$B$26:$E$26</c:f>
              <c:numCache>
                <c:formatCode>#,##0.0</c:formatCode>
                <c:ptCount val="4"/>
                <c:pt idx="0">
                  <c:v>81.2053540372671</c:v>
                </c:pt>
                <c:pt idx="1">
                  <c:v>41.3238243123336</c:v>
                </c:pt>
                <c:pt idx="2">
                  <c:v>14.5808850248447</c:v>
                </c:pt>
                <c:pt idx="3">
                  <c:v>12.9254509690245</c:v>
                </c:pt>
              </c:numCache>
            </c:numRef>
          </c:val>
        </c:ser>
        <c:gapWidth val="70"/>
        <c:overlap val="0"/>
        <c:axId val="50692312"/>
        <c:axId val="94090565"/>
      </c:barChart>
      <c:catAx>
        <c:axId val="50692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090565"/>
        <c:crosses val="autoZero"/>
        <c:auto val="1"/>
        <c:lblAlgn val="ctr"/>
        <c:lblOffset val="100"/>
        <c:noMultiLvlLbl val="0"/>
      </c:catAx>
      <c:valAx>
        <c:axId val="940905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69231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FY2025 underlying EBITDA by segment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5B9BD5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5A5A5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C00000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C0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Dashboard!$T$3:$T$7</c:f>
              <c:strCache>
                <c:ptCount val="5"/>
                <c:pt idx="0">
                  <c:v>Copper</c:v>
                </c:pt>
                <c:pt idx="1">
                  <c:v>Premium Iron Ore</c:v>
                </c:pt>
                <c:pt idx="2">
                  <c:v>Manganese</c:v>
                </c:pt>
                <c:pt idx="3">
                  <c:v>Crop Nutrients</c:v>
                </c:pt>
                <c:pt idx="4">
                  <c:v>De Beers</c:v>
                </c:pt>
              </c:strCache>
            </c:strRef>
          </c:cat>
          <c:val>
            <c:numRef>
              <c:f>Dashboard!$U$3:$U$7</c:f>
              <c:numCache>
                <c:formatCode>#,##0;\(#,##0\);\-</c:formatCode>
                <c:ptCount val="5"/>
                <c:pt idx="0">
                  <c:v>3983.74</c:v>
                </c:pt>
                <c:pt idx="1">
                  <c:v>2875.84</c:v>
                </c:pt>
                <c:pt idx="2">
                  <c:v>127</c:v>
                </c:pt>
                <c:pt idx="3">
                  <c:v>-66</c:v>
                </c:pt>
                <c:pt idx="4">
                  <c:v>-511</c:v>
                </c:pt>
              </c:numCache>
            </c:numRef>
          </c:val>
        </c:ser>
        <c:gapWidth val="60"/>
        <c:overlap val="0"/>
        <c:axId val="14264908"/>
        <c:axId val="78604187"/>
      </c:barChart>
      <c:catAx>
        <c:axId val="142649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604187"/>
        <c:crosses val="autoZero"/>
        <c:auto val="1"/>
        <c:lblAlgn val="ctr"/>
        <c:lblOffset val="100"/>
        <c:noMultiLvlLbl val="0"/>
      </c:catAx>
      <c:valAx>
        <c:axId val="786041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26490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Group EBITDA sensitivity to copper price, 2026e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Sensitivity!C4</c:f>
              <c:strCache>
                <c:ptCount val="1"/>
                <c:pt idx="0">
                  <c:v>Group EBITDA ($m)</c:v>
                </c:pt>
              </c:strCache>
            </c:strRef>
          </c:tx>
          <c:spPr>
            <a:solidFill>
              <a:srgbClr val="1F3864"/>
            </a:solidFill>
            <a:ln w="2844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Sensitivity!$A$5:$A$13</c:f>
              <c:strCache>
                <c:ptCount val="9"/>
                <c:pt idx="0">
                  <c:v>7,000</c:v>
                </c:pt>
                <c:pt idx="1">
                  <c:v>8,000</c:v>
                </c:pt>
                <c:pt idx="2">
                  <c:v>9,000</c:v>
                </c:pt>
                <c:pt idx="3">
                  <c:v>10,000</c:v>
                </c:pt>
                <c:pt idx="4">
                  <c:v>11,000</c:v>
                </c:pt>
                <c:pt idx="5">
                  <c:v>12,000</c:v>
                </c:pt>
                <c:pt idx="6">
                  <c:v>13,000</c:v>
                </c:pt>
                <c:pt idx="7">
                  <c:v>14,000</c:v>
                </c:pt>
                <c:pt idx="8">
                  <c:v>15,000</c:v>
                </c:pt>
              </c:strCache>
            </c:strRef>
          </c:cat>
          <c:val>
            <c:numRef>
              <c:f>Sensitivity!$C$5:$C$13</c:f>
              <c:numCache>
                <c:formatCode>#,##0;\(#,##0\);\-</c:formatCode>
                <c:ptCount val="9"/>
                <c:pt idx="0">
                  <c:v>3724.27</c:v>
                </c:pt>
                <c:pt idx="1">
                  <c:v>4454.27</c:v>
                </c:pt>
                <c:pt idx="2">
                  <c:v>5184.27</c:v>
                </c:pt>
                <c:pt idx="3">
                  <c:v>5914.27</c:v>
                </c:pt>
                <c:pt idx="4">
                  <c:v>6644.27</c:v>
                </c:pt>
                <c:pt idx="5">
                  <c:v>7374.27</c:v>
                </c:pt>
                <c:pt idx="6">
                  <c:v>8104.27</c:v>
                </c:pt>
                <c:pt idx="7">
                  <c:v>8834.27</c:v>
                </c:pt>
                <c:pt idx="8">
                  <c:v>9564.27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73309882"/>
        <c:axId val="34849026"/>
      </c:lineChart>
      <c:catAx>
        <c:axId val="733098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Copper price ($/t)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849026"/>
        <c:crosses val="autoZero"/>
        <c:auto val="1"/>
        <c:lblAlgn val="ctr"/>
        <c:lblOffset val="100"/>
        <c:noMultiLvlLbl val="0"/>
      </c:catAx>
      <c:valAx>
        <c:axId val="348490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Group EBITDA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3098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Copper price deck by scenario ($/t)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Dashboard!T13</c:f>
              <c:strCache>
                <c:ptCount val="1"/>
                <c:pt idx="0">
                  <c:v>Bull</c:v>
                </c:pt>
              </c:strCache>
            </c:strRef>
          </c:tx>
          <c:spPr>
            <a:solidFill>
              <a:srgbClr val="548235"/>
            </a:solidFill>
            <a:ln w="2844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Dashboard!$U$12:$X$12</c:f>
              <c:strCache>
                <c:ptCount val="4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</c:strCache>
            </c:strRef>
          </c:cat>
          <c:val>
            <c:numRef>
              <c:f>Dashboard!$U$13:$X$13</c:f>
              <c:numCache>
                <c:formatCode>#,##0</c:formatCode>
                <c:ptCount val="4"/>
                <c:pt idx="0">
                  <c:v>9500</c:v>
                </c:pt>
                <c:pt idx="1">
                  <c:v>13500</c:v>
                </c:pt>
                <c:pt idx="2">
                  <c:v>14000</c:v>
                </c:pt>
                <c:pt idx="3">
                  <c:v>14500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Dashboard!T14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2E75B6"/>
            </a:solidFill>
            <a:ln w="2844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Dashboard!$U$12:$X$12</c:f>
              <c:strCache>
                <c:ptCount val="4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</c:strCache>
            </c:strRef>
          </c:cat>
          <c:val>
            <c:numRef>
              <c:f>Dashboard!$U$14:$X$14</c:f>
              <c:numCache>
                <c:formatCode>#,##0</c:formatCode>
                <c:ptCount val="4"/>
                <c:pt idx="0">
                  <c:v>9500</c:v>
                </c:pt>
                <c:pt idx="1">
                  <c:v>11500</c:v>
                </c:pt>
                <c:pt idx="2">
                  <c:v>10000</c:v>
                </c:pt>
                <c:pt idx="3">
                  <c:v>10500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Dashboard!T15</c:f>
              <c:strCache>
                <c:ptCount val="1"/>
                <c:pt idx="0">
                  <c:v>Bear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round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Dashboard!$U$12:$X$12</c:f>
              <c:strCache>
                <c:ptCount val="4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</c:strCache>
            </c:strRef>
          </c:cat>
          <c:val>
            <c:numRef>
              <c:f>Dashboard!$U$15:$X$15</c:f>
              <c:numCache>
                <c:formatCode>#,##0</c:formatCode>
                <c:ptCount val="4"/>
                <c:pt idx="0">
                  <c:v>9500</c:v>
                </c:pt>
                <c:pt idx="1">
                  <c:v>10000</c:v>
                </c:pt>
                <c:pt idx="2">
                  <c:v>8200</c:v>
                </c:pt>
                <c:pt idx="3">
                  <c:v>8000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6367833"/>
        <c:axId val="18496963"/>
      </c:lineChart>
      <c:catAx>
        <c:axId val="663678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496963"/>
        <c:crosses val="autoZero"/>
        <c:auto val="1"/>
        <c:lblAlgn val="ctr"/>
        <c:lblOffset val="100"/>
        <c:noMultiLvlLbl val="0"/>
      </c:catAx>
      <c:valAx>
        <c:axId val="184969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$/t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36783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8</xdr:col>
      <xdr:colOff>486360</xdr:colOff>
      <xdr:row>18</xdr:row>
      <xdr:rowOff>21960</xdr:rowOff>
    </xdr:to>
    <xdr:graphicFrame>
      <xdr:nvGraphicFramePr>
        <xdr:cNvPr id="1" name="Chart 1"/>
        <xdr:cNvGraphicFramePr/>
      </xdr:nvGraphicFramePr>
      <xdr:xfrm>
        <a:off x="0" y="631080"/>
        <a:ext cx="5471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</xdr:row>
      <xdr:rowOff>0</xdr:rowOff>
    </xdr:from>
    <xdr:to>
      <xdr:col>17</xdr:col>
      <xdr:colOff>579600</xdr:colOff>
      <xdr:row>18</xdr:row>
      <xdr:rowOff>21960</xdr:rowOff>
    </xdr:to>
    <xdr:graphicFrame>
      <xdr:nvGraphicFramePr>
        <xdr:cNvPr id="2" name="Chart 2"/>
        <xdr:cNvGraphicFramePr/>
      </xdr:nvGraphicFramePr>
      <xdr:xfrm>
        <a:off x="5596920" y="631080"/>
        <a:ext cx="5471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0</xdr:rowOff>
    </xdr:from>
    <xdr:to>
      <xdr:col>8</xdr:col>
      <xdr:colOff>486360</xdr:colOff>
      <xdr:row>35</xdr:row>
      <xdr:rowOff>21960</xdr:rowOff>
    </xdr:to>
    <xdr:graphicFrame>
      <xdr:nvGraphicFramePr>
        <xdr:cNvPr id="3" name="Chart 3"/>
        <xdr:cNvGraphicFramePr/>
      </xdr:nvGraphicFramePr>
      <xdr:xfrm>
        <a:off x="0" y="3869640"/>
        <a:ext cx="5471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20</xdr:row>
      <xdr:rowOff>0</xdr:rowOff>
    </xdr:from>
    <xdr:to>
      <xdr:col>17</xdr:col>
      <xdr:colOff>579600</xdr:colOff>
      <xdr:row>35</xdr:row>
      <xdr:rowOff>21960</xdr:rowOff>
    </xdr:to>
    <xdr:graphicFrame>
      <xdr:nvGraphicFramePr>
        <xdr:cNvPr id="4" name="Chart 4"/>
        <xdr:cNvGraphicFramePr/>
      </xdr:nvGraphicFramePr>
      <xdr:xfrm>
        <a:off x="5596920" y="3869640"/>
        <a:ext cx="5471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37</xdr:row>
      <xdr:rowOff>0</xdr:rowOff>
    </xdr:from>
    <xdr:to>
      <xdr:col>8</xdr:col>
      <xdr:colOff>486360</xdr:colOff>
      <xdr:row>52</xdr:row>
      <xdr:rowOff>22320</xdr:rowOff>
    </xdr:to>
    <xdr:graphicFrame>
      <xdr:nvGraphicFramePr>
        <xdr:cNvPr id="5" name="Chart 5"/>
        <xdr:cNvGraphicFramePr/>
      </xdr:nvGraphicFramePr>
      <xdr:xfrm>
        <a:off x="0" y="7108200"/>
        <a:ext cx="5471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37</xdr:row>
      <xdr:rowOff>0</xdr:rowOff>
    </xdr:from>
    <xdr:to>
      <xdr:col>17</xdr:col>
      <xdr:colOff>579600</xdr:colOff>
      <xdr:row>52</xdr:row>
      <xdr:rowOff>22320</xdr:rowOff>
    </xdr:to>
    <xdr:graphicFrame>
      <xdr:nvGraphicFramePr>
        <xdr:cNvPr id="6" name="Chart 6"/>
        <xdr:cNvGraphicFramePr/>
      </xdr:nvGraphicFramePr>
      <xdr:xfrm>
        <a:off x="5596920" y="7108200"/>
        <a:ext cx="5471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54</xdr:row>
      <xdr:rowOff>0</xdr:rowOff>
    </xdr:from>
    <xdr:to>
      <xdr:col>8</xdr:col>
      <xdr:colOff>486360</xdr:colOff>
      <xdr:row>69</xdr:row>
      <xdr:rowOff>22320</xdr:rowOff>
    </xdr:to>
    <xdr:graphicFrame>
      <xdr:nvGraphicFramePr>
        <xdr:cNvPr id="7" name="Chart 7"/>
        <xdr:cNvGraphicFramePr/>
      </xdr:nvGraphicFramePr>
      <xdr:xfrm>
        <a:off x="0" y="10346760"/>
        <a:ext cx="5471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investegate.co.uk/announcement/rns/anglo-american--aal/anglo-american-full-year-2025-results/9439268" TargetMode="External"/><Relationship Id="rId2" Type="http://schemas.openxmlformats.org/officeDocument/2006/relationships/hyperlink" Target="https://www.angloamerican.com/~/media/Files/A/Anglo-American-Group-v9/PLC/media/press-release/releases/2026pr/anglo-american-preliminary-results-for-the-year-ended-31-december-2025.pdf" TargetMode="External"/><Relationship Id="rId3" Type="http://schemas.openxmlformats.org/officeDocument/2006/relationships/hyperlink" Target="https://www.angloamerican.com/media/press-releases/2026/05-02-2026" TargetMode="External"/><Relationship Id="rId4" Type="http://schemas.openxmlformats.org/officeDocument/2006/relationships/hyperlink" Target="https://www.miningweekly.com/article/anglo-lowers-2026-copper-production-guidance-following-lower-2025-output-2026-02-05" TargetMode="External"/><Relationship Id="rId5" Type="http://schemas.openxmlformats.org/officeDocument/2006/relationships/hyperlink" Target="https://www.angloamerican.com/media/press-releases/2025/09-09-2025" TargetMode="External"/><Relationship Id="rId6" Type="http://schemas.openxmlformats.org/officeDocument/2006/relationships/hyperlink" Target="https://www.sec.gov/Archives/edgar/data/886986/000095014225002410/eh250676348_ex9901.htm" TargetMode="External"/><Relationship Id="rId7" Type="http://schemas.openxmlformats.org/officeDocument/2006/relationships/hyperlink" Target="https://www.mining.com/web/anglo-american-expects-final-approval-for-teck-merger-around-q3/" TargetMode="External"/><Relationship Id="rId8" Type="http://schemas.openxmlformats.org/officeDocument/2006/relationships/hyperlink" Target="https://www.reuters.com/business/energy/anglo-american-sell-australian-coal-mines-up-388-billion-2026-05-18/" TargetMode="External"/><Relationship Id="rId9" Type="http://schemas.openxmlformats.org/officeDocument/2006/relationships/hyperlink" Target="https://www.mining.com/anglo-american-draws-botswana-into-5b-de-beers-sale-talks/" TargetMode="External"/><Relationship Id="rId10" Type="http://schemas.openxmlformats.org/officeDocument/2006/relationships/hyperlink" Target="https://www.worldbank.org/en/news/press-release/2026/04/28/commodity-markets-outlook-april-2026-press-release" TargetMode="External"/><Relationship Id="rId11" Type="http://schemas.openxmlformats.org/officeDocument/2006/relationships/hyperlink" Target="https://blogs.worldbank.org/en/opendata/metal-prices-poised-to-strengthen-further" TargetMode="External"/><Relationship Id="rId12" Type="http://schemas.openxmlformats.org/officeDocument/2006/relationships/hyperlink" Target="https://blogs.worldbank.org/en/opendata/fertilizer-prices-surge-as-strait-of-hormuz-disruptions-tighten-" TargetMode="External"/><Relationship Id="rId13" Type="http://schemas.openxmlformats.org/officeDocument/2006/relationships/hyperlink" Target="https://www.goldmansachs.com/insights/articles/copper-prices-forecast-to-decline-from-record-highs-in-2026" TargetMode="External"/><Relationship Id="rId14" Type="http://schemas.openxmlformats.org/officeDocument/2006/relationships/hyperlink" Target="https://gmk.center/en/news/fitch-ratings-has-raised-its-price-outlook-for-iron-ore-and-coking-coal-for-2026/" TargetMode="External"/><Relationship Id="rId15" Type="http://schemas.openxmlformats.org/officeDocument/2006/relationships/hyperlink" Target="https://en.wikipedia.org/wiki/2026_Strait_of_Hormuz_crisis" TargetMode="External"/><Relationship Id="rId16" Type="http://schemas.openxmlformats.org/officeDocument/2006/relationships/hyperlink" Target="https://www.cnbc.com/2026/05/29/oil-prices-iran-ceasefire-us-trump-strait-hormuz-energy-costs.html" TargetMode="External"/><Relationship Id="rId17" Type="http://schemas.openxmlformats.org/officeDocument/2006/relationships/hyperlink" Target="https://www.mining.com/web/rio-tintos-first-quarter-iron-ore-sales-rise-2/" TargetMode="External"/><Relationship Id="rId18" Type="http://schemas.openxmlformats.org/officeDocument/2006/relationships/hyperlink" Target="https://www.angloamerican.com/media/press-releases/2026/28-04-2026" TargetMode="External"/><Relationship Id="rId19" Type="http://schemas.openxmlformats.org/officeDocument/2006/relationships/hyperlink" Target="https://www.lse.co.uk/SharePrice.html?shareprice=AAL&amp;share=Anglo-america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4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5" t="s">
        <v>6</v>
      </c>
      <c r="B9" s="3" t="s">
        <v>7</v>
      </c>
    </row>
    <row r="10" customFormat="false" ht="15" hidden="false" customHeight="false" outlineLevel="0" collapsed="false">
      <c r="A10" s="5" t="s">
        <v>8</v>
      </c>
      <c r="B10" s="3" t="s">
        <v>9</v>
      </c>
    </row>
    <row r="11" customFormat="false" ht="15" hidden="false" customHeight="false" outlineLevel="0" collapsed="false">
      <c r="A11" s="5" t="s">
        <v>10</v>
      </c>
      <c r="B11" s="3" t="s">
        <v>11</v>
      </c>
    </row>
    <row r="12" customFormat="false" ht="15" hidden="false" customHeight="false" outlineLevel="0" collapsed="false">
      <c r="A12" s="5" t="s">
        <v>12</v>
      </c>
      <c r="B12" s="3" t="s">
        <v>13</v>
      </c>
    </row>
    <row r="13" customFormat="false" ht="15" hidden="false" customHeight="false" outlineLevel="0" collapsed="false">
      <c r="A13" s="5" t="s">
        <v>14</v>
      </c>
      <c r="B13" s="3" t="s">
        <v>15</v>
      </c>
    </row>
    <row r="14" customFormat="false" ht="15" hidden="false" customHeight="false" outlineLevel="0" collapsed="false">
      <c r="A14" s="5" t="s">
        <v>16</v>
      </c>
      <c r="B14" s="3" t="s">
        <v>17</v>
      </c>
    </row>
    <row r="15" customFormat="false" ht="15" hidden="false" customHeight="false" outlineLevel="0" collapsed="false">
      <c r="A15" s="5" t="s">
        <v>18</v>
      </c>
      <c r="B15" s="3" t="s">
        <v>19</v>
      </c>
    </row>
    <row r="17" customFormat="false" ht="15" hidden="false" customHeight="true" outlineLevel="0" collapsed="false">
      <c r="A17" s="6" t="s">
        <v>20</v>
      </c>
      <c r="B17" s="6"/>
      <c r="C17" s="6"/>
      <c r="D17" s="6"/>
    </row>
    <row r="18" customFormat="false" ht="15" hidden="false" customHeight="false" outlineLevel="0" collapsed="false">
      <c r="A18" s="6"/>
      <c r="B18" s="6"/>
      <c r="C18" s="6"/>
      <c r="D18" s="6"/>
    </row>
    <row r="19" customFormat="false" ht="15" hidden="false" customHeight="false" outlineLevel="0" collapsed="false">
      <c r="A19" s="6"/>
      <c r="B19" s="6"/>
      <c r="C19" s="6"/>
      <c r="D19" s="6"/>
    </row>
  </sheetData>
  <mergeCells count="1">
    <mergeCell ref="A17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2"/>
  </cols>
  <sheetData>
    <row r="1" customFormat="false" ht="17.35" hidden="false" customHeight="false" outlineLevel="0" collapsed="false">
      <c r="A1" s="7" t="s">
        <v>21</v>
      </c>
    </row>
    <row r="2" customFormat="false" ht="15" hidden="false" customHeight="false" outlineLevel="0" collapsed="false">
      <c r="A2" s="8" t="s">
        <v>22</v>
      </c>
    </row>
    <row r="4" customFormat="false" ht="15" hidden="false" customHeight="false" outlineLevel="0" collapsed="false">
      <c r="A4" s="9" t="s">
        <v>23</v>
      </c>
      <c r="B4" s="10"/>
      <c r="C4" s="10"/>
      <c r="D4" s="10"/>
      <c r="E4" s="10"/>
    </row>
    <row r="5" customFormat="false" ht="15" hidden="false" customHeight="false" outlineLevel="0" collapsed="false">
      <c r="A5" s="11" t="s">
        <v>24</v>
      </c>
      <c r="B5" s="12" t="s">
        <v>25</v>
      </c>
      <c r="C5" s="12" t="s">
        <v>26</v>
      </c>
      <c r="D5" s="12" t="s">
        <v>27</v>
      </c>
      <c r="E5" s="12" t="s">
        <v>28</v>
      </c>
    </row>
    <row r="6" customFormat="false" ht="15" hidden="false" customHeight="false" outlineLevel="0" collapsed="false">
      <c r="A6" s="5" t="s">
        <v>29</v>
      </c>
      <c r="B6" s="13" t="n">
        <f aca="false">Bull!C28</f>
        <v>6420.58</v>
      </c>
      <c r="C6" s="13" t="n">
        <f aca="false">Bull!D28</f>
        <v>9490.665</v>
      </c>
      <c r="D6" s="13" t="n">
        <f aca="false">Bull!E28</f>
        <v>10637</v>
      </c>
      <c r="E6" s="13" t="n">
        <f aca="false">Bull!F28</f>
        <v>11386.5</v>
      </c>
    </row>
    <row r="7" customFormat="false" ht="15" hidden="false" customHeight="false" outlineLevel="0" collapsed="false">
      <c r="A7" s="5" t="s">
        <v>30</v>
      </c>
      <c r="B7" s="13" t="n">
        <f aca="false">Base!C28</f>
        <v>6420.58</v>
      </c>
      <c r="C7" s="13" t="n">
        <f aca="false">Base!D28</f>
        <v>7009.27</v>
      </c>
      <c r="D7" s="13" t="n">
        <f aca="false">Base!E28</f>
        <v>6360.24</v>
      </c>
      <c r="E7" s="13" t="n">
        <f aca="false">Base!F28</f>
        <v>6734.54</v>
      </c>
    </row>
    <row r="8" customFormat="false" ht="15" hidden="false" customHeight="false" outlineLevel="0" collapsed="false">
      <c r="A8" s="5" t="s">
        <v>31</v>
      </c>
      <c r="B8" s="13" t="n">
        <f aca="false">Bear!C28</f>
        <v>6420.58</v>
      </c>
      <c r="C8" s="13" t="n">
        <f aca="false">Bear!D28</f>
        <v>4803.8</v>
      </c>
      <c r="D8" s="13" t="n">
        <f aca="false">Bear!E28</f>
        <v>3552.37</v>
      </c>
      <c r="E8" s="13" t="n">
        <f aca="false">Bear!F28</f>
        <v>3419.47</v>
      </c>
    </row>
    <row r="10" customFormat="false" ht="15" hidden="false" customHeight="false" outlineLevel="0" collapsed="false">
      <c r="A10" s="9" t="s">
        <v>32</v>
      </c>
      <c r="B10" s="10"/>
      <c r="C10" s="10"/>
      <c r="D10" s="10"/>
      <c r="E10" s="10"/>
    </row>
    <row r="11" customFormat="false" ht="15" hidden="false" customHeight="false" outlineLevel="0" collapsed="false">
      <c r="A11" s="11" t="s">
        <v>24</v>
      </c>
      <c r="B11" s="12" t="s">
        <v>25</v>
      </c>
      <c r="C11" s="12" t="s">
        <v>26</v>
      </c>
      <c r="D11" s="12" t="s">
        <v>27</v>
      </c>
      <c r="E11" s="12" t="s">
        <v>28</v>
      </c>
    </row>
    <row r="12" customFormat="false" ht="15" hidden="false" customHeight="false" outlineLevel="0" collapsed="false">
      <c r="A12" s="5" t="s">
        <v>29</v>
      </c>
      <c r="B12" s="13" t="n">
        <f aca="false">Bull!C39</f>
        <v>812.3471</v>
      </c>
      <c r="C12" s="13" t="n">
        <f aca="false">Bull!D39</f>
        <v>2437.7998</v>
      </c>
      <c r="D12" s="13" t="n">
        <f aca="false">Bull!E39</f>
        <v>3863.41497295</v>
      </c>
      <c r="E12" s="13" t="n">
        <f aca="false">Bull!F39</f>
        <v>4934.63</v>
      </c>
    </row>
    <row r="13" customFormat="false" ht="15" hidden="false" customHeight="false" outlineLevel="0" collapsed="false">
      <c r="A13" s="5" t="s">
        <v>30</v>
      </c>
      <c r="B13" s="13" t="n">
        <f aca="false">Base!C39</f>
        <v>812.3471</v>
      </c>
      <c r="C13" s="13" t="n">
        <f aca="false">Base!D39</f>
        <v>899.334899999999</v>
      </c>
      <c r="D13" s="13" t="n">
        <f aca="false">Base!E39</f>
        <v>1164.47875635</v>
      </c>
      <c r="E13" s="13" t="n">
        <f aca="false">Base!F39</f>
        <v>2030.80502635582</v>
      </c>
    </row>
    <row r="14" customFormat="false" ht="15" hidden="false" customHeight="false" outlineLevel="0" collapsed="false">
      <c r="A14" s="5" t="s">
        <v>31</v>
      </c>
      <c r="B14" s="13" t="n">
        <f aca="false">Bear!C39</f>
        <v>812.3471</v>
      </c>
      <c r="C14" s="13" t="n">
        <f aca="false">Bear!D39</f>
        <v>-468.0565</v>
      </c>
      <c r="D14" s="13" t="n">
        <f aca="false">Bear!E39</f>
        <v>-618.48101125</v>
      </c>
      <c r="E14" s="13" t="n">
        <f aca="false">Bear!F39</f>
        <v>-151.536947785325</v>
      </c>
    </row>
    <row r="16" customFormat="false" ht="15" hidden="false" customHeight="false" outlineLevel="0" collapsed="false">
      <c r="A16" s="9" t="s">
        <v>33</v>
      </c>
      <c r="B16" s="10"/>
      <c r="C16" s="10"/>
      <c r="D16" s="10"/>
      <c r="E16" s="10"/>
    </row>
    <row r="17" customFormat="false" ht="15" hidden="false" customHeight="false" outlineLevel="0" collapsed="false">
      <c r="A17" s="11" t="s">
        <v>24</v>
      </c>
      <c r="B17" s="12" t="s">
        <v>25</v>
      </c>
      <c r="C17" s="12" t="s">
        <v>26</v>
      </c>
      <c r="D17" s="12" t="s">
        <v>27</v>
      </c>
      <c r="E17" s="12" t="s">
        <v>28</v>
      </c>
    </row>
    <row r="18" customFormat="false" ht="15" hidden="false" customHeight="false" outlineLevel="0" collapsed="false">
      <c r="A18" s="5" t="s">
        <v>29</v>
      </c>
      <c r="B18" s="13" t="n">
        <f aca="false">Bull!C44</f>
        <v>8571</v>
      </c>
      <c r="C18" s="13" t="n">
        <f aca="false">Bull!D44</f>
        <v>2840.667388</v>
      </c>
      <c r="D18" s="13" t="n">
        <f aca="false">Bull!E44</f>
        <v>-3655.94729562728</v>
      </c>
      <c r="E18" s="13" t="n">
        <f aca="false">Bull!F44</f>
        <v>-7624.63849562728</v>
      </c>
    </row>
    <row r="19" customFormat="false" ht="15" hidden="false" customHeight="false" outlineLevel="0" collapsed="false">
      <c r="A19" s="5" t="s">
        <v>30</v>
      </c>
      <c r="B19" s="13" t="n">
        <f aca="false">Base!C44</f>
        <v>8571</v>
      </c>
      <c r="C19" s="13" t="n">
        <f aca="false">Base!D44</f>
        <v>4103.201164</v>
      </c>
      <c r="D19" s="13" t="n">
        <f aca="false">Base!E44</f>
        <v>522.927297178161</v>
      </c>
      <c r="E19" s="13" t="n">
        <f aca="false">Base!F44</f>
        <v>-1062.14435694997</v>
      </c>
    </row>
    <row r="20" customFormat="false" ht="15" hidden="false" customHeight="false" outlineLevel="0" collapsed="false">
      <c r="A20" s="5" t="s">
        <v>31</v>
      </c>
      <c r="B20" s="13" t="n">
        <f aca="false">Bear!C44</f>
        <v>8571</v>
      </c>
      <c r="C20" s="13" t="n">
        <f aca="false">Bear!D44</f>
        <v>5225.3443</v>
      </c>
      <c r="D20" s="13" t="n">
        <f aca="false">Bear!E44</f>
        <v>3909.555940942</v>
      </c>
      <c r="E20" s="13" t="n">
        <f aca="false">Bear!F44</f>
        <v>4119.36082169569</v>
      </c>
    </row>
    <row r="22" customFormat="false" ht="15" hidden="false" customHeight="false" outlineLevel="0" collapsed="false">
      <c r="A22" s="9" t="s">
        <v>34</v>
      </c>
      <c r="B22" s="10"/>
      <c r="C22" s="10"/>
      <c r="D22" s="10"/>
      <c r="E22" s="10"/>
    </row>
    <row r="23" customFormat="false" ht="15" hidden="false" customHeight="false" outlineLevel="0" collapsed="false">
      <c r="A23" s="11" t="s">
        <v>24</v>
      </c>
      <c r="B23" s="12" t="s">
        <v>25</v>
      </c>
      <c r="C23" s="12" t="s">
        <v>26</v>
      </c>
      <c r="D23" s="12" t="s">
        <v>27</v>
      </c>
      <c r="E23" s="12" t="s">
        <v>28</v>
      </c>
    </row>
    <row r="24" customFormat="false" ht="15" hidden="false" customHeight="false" outlineLevel="0" collapsed="false">
      <c r="A24" s="5" t="s">
        <v>29</v>
      </c>
      <c r="B24" s="14" t="n">
        <f aca="false">Bull!C41</f>
        <v>81.2053540372671</v>
      </c>
      <c r="C24" s="14" t="n">
        <f aca="false">Bull!D41</f>
        <v>156.935933451642</v>
      </c>
      <c r="D24" s="14" t="n">
        <f aca="false">Bull!E41</f>
        <v>192.280454596877</v>
      </c>
      <c r="E24" s="14" t="n">
        <f aca="false">Bull!F41</f>
        <v>214.272138420586</v>
      </c>
    </row>
    <row r="25" customFormat="false" ht="15" hidden="false" customHeight="false" outlineLevel="0" collapsed="false">
      <c r="A25" s="5" t="s">
        <v>30</v>
      </c>
      <c r="B25" s="14" t="n">
        <f aca="false">Base!C41</f>
        <v>81.2053540372671</v>
      </c>
      <c r="C25" s="14" t="n">
        <f aca="false">Base!D41</f>
        <v>95.7267222715173</v>
      </c>
      <c r="D25" s="14" t="n">
        <f aca="false">Base!E41</f>
        <v>85.2273490523869</v>
      </c>
      <c r="E25" s="14" t="n">
        <f aca="false">Base!F41</f>
        <v>98.8760807958495</v>
      </c>
    </row>
    <row r="26" customFormat="false" ht="15" hidden="false" customHeight="false" outlineLevel="0" collapsed="false">
      <c r="A26" s="5" t="s">
        <v>31</v>
      </c>
      <c r="B26" s="14" t="n">
        <f aca="false">Bear!C41</f>
        <v>81.2053540372671</v>
      </c>
      <c r="C26" s="14" t="n">
        <f aca="false">Bear!D41</f>
        <v>41.3238243123336</v>
      </c>
      <c r="D26" s="14" t="n">
        <f aca="false">Bear!E41</f>
        <v>14.5808850248447</v>
      </c>
      <c r="E26" s="14" t="n">
        <f aca="false">Bear!F41</f>
        <v>12.9254509690245</v>
      </c>
    </row>
    <row r="28" customFormat="false" ht="15" hidden="false" customHeight="false" outlineLevel="0" collapsed="false">
      <c r="A28" s="9" t="s">
        <v>35</v>
      </c>
      <c r="B28" s="10"/>
      <c r="C28" s="10"/>
      <c r="D28" s="10"/>
      <c r="E28" s="10"/>
    </row>
    <row r="29" customFormat="false" ht="15" hidden="false" customHeight="false" outlineLevel="0" collapsed="false">
      <c r="A29" s="11" t="s">
        <v>24</v>
      </c>
      <c r="B29" s="12" t="s">
        <v>25</v>
      </c>
      <c r="C29" s="12" t="s">
        <v>26</v>
      </c>
      <c r="D29" s="12" t="s">
        <v>27</v>
      </c>
      <c r="E29" s="12" t="s">
        <v>28</v>
      </c>
    </row>
    <row r="30" customFormat="false" ht="15" hidden="false" customHeight="false" outlineLevel="0" collapsed="false">
      <c r="A30" s="5" t="s">
        <v>29</v>
      </c>
      <c r="B30" s="15" t="n">
        <f aca="false">Bull!C45</f>
        <v>1.33492612816911</v>
      </c>
      <c r="C30" s="15" t="n">
        <f aca="false">Bull!D45</f>
        <v>0.29931173295022</v>
      </c>
      <c r="D30" s="15" t="n">
        <f aca="false">Bull!E45</f>
        <v>-0.343700977308196</v>
      </c>
      <c r="E30" s="15" t="n">
        <f aca="false">Bull!F45</f>
        <v>-0.66962091034359</v>
      </c>
    </row>
    <row r="31" customFormat="false" ht="15" hidden="false" customHeight="false" outlineLevel="0" collapsed="false">
      <c r="A31" s="5" t="s">
        <v>30</v>
      </c>
      <c r="B31" s="15" t="n">
        <f aca="false">Base!C45</f>
        <v>1.33492612816911</v>
      </c>
      <c r="C31" s="15" t="n">
        <f aca="false">Base!D45</f>
        <v>0.58539636281667</v>
      </c>
      <c r="D31" s="15" t="n">
        <f aca="false">Base!E45</f>
        <v>0.0822181705687459</v>
      </c>
      <c r="E31" s="15" t="n">
        <f aca="false">Base!F45</f>
        <v>-0.157715947481189</v>
      </c>
    </row>
    <row r="32" customFormat="false" ht="15" hidden="false" customHeight="false" outlineLevel="0" collapsed="false">
      <c r="A32" s="5" t="s">
        <v>31</v>
      </c>
      <c r="B32" s="15" t="n">
        <f aca="false">Bear!C45</f>
        <v>1.33492612816911</v>
      </c>
      <c r="C32" s="15" t="n">
        <f aca="false">Bear!D45</f>
        <v>1.08775225862859</v>
      </c>
      <c r="D32" s="15" t="n">
        <f aca="false">Bear!E45</f>
        <v>1.10054863117918</v>
      </c>
      <c r="E32" s="15" t="n">
        <f aca="false">Bear!F45</f>
        <v>1.20467815822209</v>
      </c>
    </row>
    <row r="34" customFormat="false" ht="15" hidden="false" customHeight="false" outlineLevel="0" collapsed="false">
      <c r="A34" s="9" t="s">
        <v>36</v>
      </c>
      <c r="B34" s="10"/>
      <c r="C34" s="10"/>
      <c r="D34" s="10"/>
      <c r="E34" s="10"/>
    </row>
    <row r="35" customFormat="false" ht="15" hidden="false" customHeight="false" outlineLevel="0" collapsed="false">
      <c r="A35" s="3" t="s">
        <v>37</v>
      </c>
      <c r="B35" s="16" t="n">
        <f aca="false">Assumptions!C54/100*Assumptions!C44*Assumptions!C55</f>
        <v>57875.958</v>
      </c>
    </row>
    <row r="36" customFormat="false" ht="15" hidden="false" customHeight="false" outlineLevel="0" collapsed="false">
      <c r="A36" s="3" t="s">
        <v>38</v>
      </c>
      <c r="B36" s="17" t="n">
        <f aca="false">B35+Assumptions!C56</f>
        <v>66446.958</v>
      </c>
    </row>
    <row r="37" customFormat="false" ht="15" hidden="false" customHeight="false" outlineLevel="0" collapsed="false">
      <c r="A37" s="3" t="s">
        <v>39</v>
      </c>
      <c r="B37" s="18" t="n">
        <f aca="false">$B$36/Bull!D28</f>
        <v>7.00129632644288</v>
      </c>
      <c r="C37" s="18" t="n">
        <f aca="false">$B$36/Base!D28</f>
        <v>9.47986851697823</v>
      </c>
      <c r="D37" s="18" t="n">
        <f aca="false">$B$36/Bear!D28</f>
        <v>13.8321657854199</v>
      </c>
    </row>
    <row r="38" customFormat="false" ht="15" hidden="false" customHeight="false" outlineLevel="0" collapsed="false">
      <c r="A38" s="8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</cols>
  <sheetData>
    <row r="1" customFormat="false" ht="19.7" hidden="false" customHeight="false" outlineLevel="0" collapsed="false">
      <c r="A1" s="19" t="s">
        <v>41</v>
      </c>
    </row>
    <row r="2" customFormat="false" ht="15" hidden="false" customHeight="false" outlineLevel="0" collapsed="false">
      <c r="A2" s="8" t="s">
        <v>42</v>
      </c>
      <c r="T2" s="8" t="s">
        <v>43</v>
      </c>
    </row>
    <row r="3" customFormat="false" ht="15" hidden="false" customHeight="false" outlineLevel="0" collapsed="false">
      <c r="T3" s="3" t="s">
        <v>44</v>
      </c>
      <c r="U3" s="16" t="n">
        <f aca="false">Base!C13</f>
        <v>3983.74</v>
      </c>
    </row>
    <row r="4" customFormat="false" ht="15" hidden="false" customHeight="false" outlineLevel="0" collapsed="false">
      <c r="T4" s="3" t="s">
        <v>45</v>
      </c>
      <c r="U4" s="16" t="n">
        <f aca="false">Base!C22</f>
        <v>2875.84</v>
      </c>
    </row>
    <row r="5" customFormat="false" ht="15" hidden="false" customHeight="false" outlineLevel="0" collapsed="false">
      <c r="T5" s="3" t="s">
        <v>46</v>
      </c>
      <c r="U5" s="16" t="n">
        <f aca="false">Base!C24</f>
        <v>127</v>
      </c>
    </row>
    <row r="6" customFormat="false" ht="15" hidden="false" customHeight="false" outlineLevel="0" collapsed="false">
      <c r="T6" s="3" t="s">
        <v>47</v>
      </c>
      <c r="U6" s="16" t="n">
        <f aca="false">Base!C25</f>
        <v>-66</v>
      </c>
    </row>
    <row r="7" customFormat="false" ht="15" hidden="false" customHeight="false" outlineLevel="0" collapsed="false">
      <c r="T7" s="3" t="s">
        <v>48</v>
      </c>
      <c r="U7" s="16" t="n">
        <f aca="false">Base!C26</f>
        <v>-511</v>
      </c>
    </row>
    <row r="12" customFormat="false" ht="15" hidden="false" customHeight="false" outlineLevel="0" collapsed="false">
      <c r="T12" s="8" t="s">
        <v>49</v>
      </c>
      <c r="U12" s="8" t="s">
        <v>25</v>
      </c>
      <c r="V12" s="8" t="s">
        <v>26</v>
      </c>
      <c r="W12" s="8" t="s">
        <v>27</v>
      </c>
      <c r="X12" s="8" t="s">
        <v>28</v>
      </c>
    </row>
    <row r="13" customFormat="false" ht="15" hidden="false" customHeight="false" outlineLevel="0" collapsed="false">
      <c r="T13" s="3" t="s">
        <v>29</v>
      </c>
      <c r="U13" s="20" t="n">
        <f aca="false">Assumptions!C7</f>
        <v>9500</v>
      </c>
      <c r="V13" s="20" t="n">
        <f aca="false">Assumptions!D7</f>
        <v>13500</v>
      </c>
      <c r="W13" s="20" t="n">
        <f aca="false">Assumptions!E7</f>
        <v>14000</v>
      </c>
      <c r="X13" s="20" t="n">
        <f aca="false">Assumptions!F7</f>
        <v>14500</v>
      </c>
    </row>
    <row r="14" customFormat="false" ht="15" hidden="false" customHeight="false" outlineLevel="0" collapsed="false">
      <c r="T14" s="3" t="s">
        <v>30</v>
      </c>
      <c r="U14" s="20" t="n">
        <f aca="false">Assumptions!C8</f>
        <v>9500</v>
      </c>
      <c r="V14" s="20" t="n">
        <f aca="false">Assumptions!D8</f>
        <v>11500</v>
      </c>
      <c r="W14" s="20" t="n">
        <f aca="false">Assumptions!E8</f>
        <v>10000</v>
      </c>
      <c r="X14" s="20" t="n">
        <f aca="false">Assumptions!F8</f>
        <v>10500</v>
      </c>
    </row>
    <row r="15" customFormat="false" ht="15" hidden="false" customHeight="false" outlineLevel="0" collapsed="false">
      <c r="T15" s="3" t="s">
        <v>31</v>
      </c>
      <c r="U15" s="20" t="n">
        <f aca="false">Assumptions!C9</f>
        <v>9500</v>
      </c>
      <c r="V15" s="20" t="n">
        <f aca="false">Assumptions!D9</f>
        <v>10000</v>
      </c>
      <c r="W15" s="20" t="n">
        <f aca="false">Assumptions!E9</f>
        <v>8200</v>
      </c>
      <c r="X15" s="20" t="n">
        <f aca="false">Assumptions!F9</f>
        <v>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6" min="3" style="0" width="11"/>
  </cols>
  <sheetData>
    <row r="1" customFormat="false" ht="17.35" hidden="false" customHeight="false" outlineLevel="0" collapsed="false">
      <c r="A1" s="7" t="s">
        <v>50</v>
      </c>
    </row>
    <row r="2" customFormat="false" ht="15" hidden="false" customHeight="false" outlineLevel="0" collapsed="false">
      <c r="A2" s="8" t="s">
        <v>51</v>
      </c>
    </row>
    <row r="3" customFormat="false" ht="15" hidden="false" customHeight="false" outlineLevel="0" collapsed="false">
      <c r="A3" s="8" t="s">
        <v>52</v>
      </c>
    </row>
    <row r="5" customFormat="false" ht="15" hidden="false" customHeight="false" outlineLevel="0" collapsed="false">
      <c r="A5" s="21" t="s">
        <v>53</v>
      </c>
      <c r="B5" s="21" t="s">
        <v>54</v>
      </c>
      <c r="C5" s="12" t="s">
        <v>25</v>
      </c>
      <c r="D5" s="12" t="s">
        <v>26</v>
      </c>
      <c r="E5" s="12" t="s">
        <v>27</v>
      </c>
      <c r="F5" s="12" t="s">
        <v>28</v>
      </c>
    </row>
    <row r="6" customFormat="false" ht="15" hidden="false" customHeight="false" outlineLevel="0" collapsed="false">
      <c r="A6" s="9" t="s">
        <v>55</v>
      </c>
      <c r="B6" s="10"/>
      <c r="C6" s="10"/>
      <c r="D6" s="10"/>
      <c r="E6" s="10"/>
      <c r="F6" s="10"/>
    </row>
    <row r="7" customFormat="false" ht="15" hidden="false" customHeight="false" outlineLevel="0" collapsed="false">
      <c r="A7" s="3" t="s">
        <v>56</v>
      </c>
      <c r="B7" s="3" t="s">
        <v>57</v>
      </c>
      <c r="C7" s="22" t="n">
        <v>9500</v>
      </c>
      <c r="D7" s="22" t="n">
        <v>13500</v>
      </c>
      <c r="E7" s="22" t="n">
        <v>14000</v>
      </c>
      <c r="F7" s="22" t="n">
        <v>14500</v>
      </c>
    </row>
    <row r="8" customFormat="false" ht="15" hidden="false" customHeight="false" outlineLevel="0" collapsed="false">
      <c r="A8" s="3" t="s">
        <v>58</v>
      </c>
      <c r="B8" s="3" t="s">
        <v>57</v>
      </c>
      <c r="C8" s="22" t="n">
        <v>9500</v>
      </c>
      <c r="D8" s="22" t="n">
        <v>11500</v>
      </c>
      <c r="E8" s="22" t="n">
        <v>10000</v>
      </c>
      <c r="F8" s="22" t="n">
        <v>10500</v>
      </c>
    </row>
    <row r="9" customFormat="false" ht="15" hidden="false" customHeight="false" outlineLevel="0" collapsed="false">
      <c r="A9" s="3" t="s">
        <v>59</v>
      </c>
      <c r="B9" s="3" t="s">
        <v>57</v>
      </c>
      <c r="C9" s="22" t="n">
        <v>9500</v>
      </c>
      <c r="D9" s="22" t="n">
        <v>10000</v>
      </c>
      <c r="E9" s="22" t="n">
        <v>8200</v>
      </c>
      <c r="F9" s="22" t="n">
        <v>8000</v>
      </c>
    </row>
    <row r="10" customFormat="false" ht="15" hidden="false" customHeight="false" outlineLevel="0" collapsed="false">
      <c r="A10" s="9" t="s">
        <v>60</v>
      </c>
      <c r="B10" s="10"/>
      <c r="C10" s="10"/>
      <c r="D10" s="10"/>
      <c r="E10" s="10"/>
      <c r="F10" s="10"/>
    </row>
    <row r="11" customFormat="false" ht="15" hidden="false" customHeight="false" outlineLevel="0" collapsed="false">
      <c r="A11" s="3" t="s">
        <v>61</v>
      </c>
      <c r="B11" s="3" t="s">
        <v>62</v>
      </c>
      <c r="C11" s="23" t="n">
        <v>695</v>
      </c>
      <c r="D11" s="23" t="n">
        <v>760</v>
      </c>
      <c r="E11" s="23" t="n">
        <v>810</v>
      </c>
      <c r="F11" s="23" t="n">
        <v>850</v>
      </c>
    </row>
    <row r="12" customFormat="false" ht="15" hidden="false" customHeight="false" outlineLevel="0" collapsed="false">
      <c r="A12" s="3" t="s">
        <v>63</v>
      </c>
      <c r="B12" s="3" t="s">
        <v>62</v>
      </c>
      <c r="C12" s="23" t="n">
        <v>695</v>
      </c>
      <c r="D12" s="23" t="n">
        <v>730</v>
      </c>
      <c r="E12" s="23" t="n">
        <v>780</v>
      </c>
      <c r="F12" s="23" t="n">
        <v>820</v>
      </c>
    </row>
    <row r="13" customFormat="false" ht="15" hidden="false" customHeight="false" outlineLevel="0" collapsed="false">
      <c r="A13" s="3" t="s">
        <v>64</v>
      </c>
      <c r="B13" s="3" t="s">
        <v>62</v>
      </c>
      <c r="C13" s="23" t="n">
        <v>695</v>
      </c>
      <c r="D13" s="23" t="n">
        <v>700</v>
      </c>
      <c r="E13" s="23" t="n">
        <v>750</v>
      </c>
      <c r="F13" s="23" t="n">
        <v>790</v>
      </c>
    </row>
    <row r="14" customFormat="false" ht="15" hidden="false" customHeight="false" outlineLevel="0" collapsed="false">
      <c r="A14" s="3" t="s">
        <v>65</v>
      </c>
      <c r="B14" s="3" t="s">
        <v>57</v>
      </c>
      <c r="C14" s="22" t="n">
        <v>3768</v>
      </c>
      <c r="D14" s="22" t="n">
        <v>4250</v>
      </c>
      <c r="E14" s="22" t="n">
        <v>4200</v>
      </c>
      <c r="F14" s="22" t="n">
        <v>4150</v>
      </c>
    </row>
    <row r="15" customFormat="false" ht="15" hidden="false" customHeight="false" outlineLevel="0" collapsed="false">
      <c r="A15" s="9" t="s">
        <v>66</v>
      </c>
      <c r="B15" s="10"/>
      <c r="C15" s="10"/>
      <c r="D15" s="10"/>
      <c r="E15" s="10"/>
      <c r="F15" s="10"/>
    </row>
    <row r="16" customFormat="false" ht="15" hidden="false" customHeight="false" outlineLevel="0" collapsed="false">
      <c r="A16" s="3" t="s">
        <v>67</v>
      </c>
      <c r="B16" s="3" t="s">
        <v>57</v>
      </c>
      <c r="C16" s="22" t="n">
        <v>92.7</v>
      </c>
      <c r="D16" s="22" t="n">
        <v>95</v>
      </c>
      <c r="E16" s="22" t="n">
        <v>90</v>
      </c>
      <c r="F16" s="22" t="n">
        <v>88</v>
      </c>
    </row>
    <row r="17" customFormat="false" ht="15" hidden="false" customHeight="false" outlineLevel="0" collapsed="false">
      <c r="A17" s="3" t="s">
        <v>68</v>
      </c>
      <c r="B17" s="3" t="s">
        <v>57</v>
      </c>
      <c r="C17" s="22" t="n">
        <v>92.7</v>
      </c>
      <c r="D17" s="22" t="n">
        <v>85</v>
      </c>
      <c r="E17" s="22" t="n">
        <v>78</v>
      </c>
      <c r="F17" s="22" t="n">
        <v>72</v>
      </c>
    </row>
    <row r="18" customFormat="false" ht="15" hidden="false" customHeight="false" outlineLevel="0" collapsed="false">
      <c r="A18" s="3" t="s">
        <v>69</v>
      </c>
      <c r="B18" s="3" t="s">
        <v>57</v>
      </c>
      <c r="C18" s="22" t="n">
        <v>92.7</v>
      </c>
      <c r="D18" s="22" t="n">
        <v>72</v>
      </c>
      <c r="E18" s="22" t="n">
        <v>60</v>
      </c>
      <c r="F18" s="22" t="n">
        <v>55</v>
      </c>
    </row>
    <row r="19" customFormat="false" ht="15" hidden="false" customHeight="false" outlineLevel="0" collapsed="false">
      <c r="A19" s="9" t="s">
        <v>70</v>
      </c>
      <c r="B19" s="10"/>
      <c r="C19" s="10"/>
      <c r="D19" s="10"/>
      <c r="E19" s="10"/>
      <c r="F19" s="10"/>
    </row>
    <row r="20" customFormat="false" ht="15" hidden="false" customHeight="false" outlineLevel="0" collapsed="false">
      <c r="A20" s="3" t="s">
        <v>71</v>
      </c>
      <c r="B20" s="3" t="s">
        <v>72</v>
      </c>
      <c r="C20" s="23" t="n">
        <v>60.8</v>
      </c>
      <c r="D20" s="23" t="n">
        <v>59</v>
      </c>
      <c r="E20" s="23" t="n">
        <v>63</v>
      </c>
      <c r="F20" s="23" t="n">
        <v>62</v>
      </c>
    </row>
    <row r="21" customFormat="false" ht="15" hidden="false" customHeight="false" outlineLevel="0" collapsed="false">
      <c r="A21" s="3" t="s">
        <v>73</v>
      </c>
      <c r="B21" s="3" t="s">
        <v>72</v>
      </c>
      <c r="C21" s="23" t="n">
        <v>60.8</v>
      </c>
      <c r="D21" s="23" t="n">
        <v>57</v>
      </c>
      <c r="E21" s="23" t="n">
        <v>61</v>
      </c>
      <c r="F21" s="23" t="n">
        <v>60</v>
      </c>
    </row>
    <row r="22" customFormat="false" ht="15" hidden="false" customHeight="false" outlineLevel="0" collapsed="false">
      <c r="A22" s="3" t="s">
        <v>74</v>
      </c>
      <c r="B22" s="3" t="s">
        <v>72</v>
      </c>
      <c r="C22" s="23" t="n">
        <v>60.8</v>
      </c>
      <c r="D22" s="23" t="n">
        <v>55</v>
      </c>
      <c r="E22" s="23" t="n">
        <v>59</v>
      </c>
      <c r="F22" s="23" t="n">
        <v>58</v>
      </c>
    </row>
    <row r="23" customFormat="false" ht="15" hidden="false" customHeight="false" outlineLevel="0" collapsed="false">
      <c r="A23" s="3" t="s">
        <v>75</v>
      </c>
      <c r="B23" s="3" t="s">
        <v>57</v>
      </c>
      <c r="C23" s="23" t="n">
        <v>45.4</v>
      </c>
      <c r="D23" s="23" t="n">
        <v>47</v>
      </c>
      <c r="E23" s="23" t="n">
        <v>47</v>
      </c>
      <c r="F23" s="23" t="n">
        <v>46</v>
      </c>
    </row>
    <row r="24" customFormat="false" ht="15" hidden="false" customHeight="false" outlineLevel="0" collapsed="false">
      <c r="A24" s="9" t="s">
        <v>76</v>
      </c>
      <c r="B24" s="10"/>
      <c r="C24" s="10"/>
      <c r="D24" s="10"/>
      <c r="E24" s="10"/>
      <c r="F24" s="10"/>
    </row>
    <row r="25" customFormat="false" ht="15" hidden="false" customHeight="false" outlineLevel="0" collapsed="false">
      <c r="A25" s="3" t="s">
        <v>77</v>
      </c>
      <c r="B25" s="3" t="s">
        <v>78</v>
      </c>
      <c r="C25" s="22" t="n">
        <v>72</v>
      </c>
      <c r="D25" s="22" t="n">
        <v>75</v>
      </c>
      <c r="E25" s="22" t="n">
        <v>72</v>
      </c>
      <c r="F25" s="22" t="n">
        <v>70</v>
      </c>
    </row>
    <row r="26" customFormat="false" ht="15" hidden="false" customHeight="false" outlineLevel="0" collapsed="false">
      <c r="A26" s="3" t="s">
        <v>79</v>
      </c>
      <c r="B26" s="3" t="s">
        <v>78</v>
      </c>
      <c r="C26" s="22" t="n">
        <v>72</v>
      </c>
      <c r="D26" s="22" t="n">
        <v>90</v>
      </c>
      <c r="E26" s="22" t="n">
        <v>80</v>
      </c>
      <c r="F26" s="22" t="n">
        <v>75</v>
      </c>
    </row>
    <row r="27" customFormat="false" ht="15" hidden="false" customHeight="false" outlineLevel="0" collapsed="false">
      <c r="A27" s="3" t="s">
        <v>80</v>
      </c>
      <c r="B27" s="3" t="s">
        <v>78</v>
      </c>
      <c r="C27" s="22" t="n">
        <v>72</v>
      </c>
      <c r="D27" s="22" t="n">
        <v>120</v>
      </c>
      <c r="E27" s="22" t="n">
        <v>110</v>
      </c>
      <c r="F27" s="22" t="n">
        <v>95</v>
      </c>
    </row>
    <row r="28" customFormat="false" ht="15" hidden="false" customHeight="false" outlineLevel="0" collapsed="false">
      <c r="A28" s="3" t="s">
        <v>81</v>
      </c>
      <c r="B28" s="3" t="s">
        <v>78</v>
      </c>
      <c r="C28" s="22" t="n">
        <v>72</v>
      </c>
    </row>
    <row r="29" customFormat="false" ht="15" hidden="false" customHeight="false" outlineLevel="0" collapsed="false">
      <c r="A29" s="3" t="s">
        <v>82</v>
      </c>
      <c r="B29" s="3" t="s">
        <v>83</v>
      </c>
      <c r="C29" s="22" t="n">
        <v>60</v>
      </c>
    </row>
    <row r="30" customFormat="false" ht="15" hidden="false" customHeight="false" outlineLevel="0" collapsed="false">
      <c r="A30" s="3" t="s">
        <v>84</v>
      </c>
      <c r="B30" s="3" t="s">
        <v>83</v>
      </c>
      <c r="C30" s="23" t="n">
        <v>0.15</v>
      </c>
    </row>
    <row r="31" customFormat="false" ht="15" hidden="false" customHeight="false" outlineLevel="0" collapsed="false">
      <c r="A31" s="9" t="s">
        <v>85</v>
      </c>
      <c r="B31" s="10"/>
      <c r="C31" s="10"/>
      <c r="D31" s="10"/>
      <c r="E31" s="10"/>
      <c r="F31" s="10"/>
    </row>
    <row r="32" customFormat="false" ht="15" hidden="false" customHeight="false" outlineLevel="0" collapsed="false">
      <c r="A32" s="3" t="s">
        <v>86</v>
      </c>
      <c r="B32" s="3" t="s">
        <v>87</v>
      </c>
      <c r="C32" s="24" t="n">
        <v>127</v>
      </c>
      <c r="D32" s="24" t="n">
        <v>120</v>
      </c>
      <c r="E32" s="24" t="n">
        <v>120</v>
      </c>
      <c r="F32" s="24" t="n">
        <v>120</v>
      </c>
    </row>
    <row r="33" customFormat="false" ht="15" hidden="false" customHeight="false" outlineLevel="0" collapsed="false">
      <c r="A33" s="3" t="s">
        <v>88</v>
      </c>
      <c r="B33" s="3" t="s">
        <v>87</v>
      </c>
      <c r="C33" s="24" t="n">
        <v>-66</v>
      </c>
      <c r="D33" s="24" t="n">
        <v>-75</v>
      </c>
      <c r="E33" s="24" t="n">
        <v>-80</v>
      </c>
      <c r="F33" s="24" t="n">
        <v>-85</v>
      </c>
    </row>
    <row r="34" customFormat="false" ht="15" hidden="false" customHeight="false" outlineLevel="0" collapsed="false">
      <c r="A34" s="3" t="s">
        <v>89</v>
      </c>
      <c r="B34" s="3" t="s">
        <v>87</v>
      </c>
      <c r="C34" s="24" t="n">
        <v>-511</v>
      </c>
      <c r="D34" s="24" t="n">
        <v>-350</v>
      </c>
      <c r="E34" s="24" t="n">
        <v>0</v>
      </c>
      <c r="F34" s="24" t="n">
        <v>0</v>
      </c>
    </row>
    <row r="35" customFormat="false" ht="15" hidden="false" customHeight="false" outlineLevel="0" collapsed="false">
      <c r="A35" s="3" t="s">
        <v>90</v>
      </c>
      <c r="B35" s="3" t="s">
        <v>87</v>
      </c>
      <c r="C35" s="24" t="n">
        <v>11</v>
      </c>
      <c r="D35" s="24" t="n">
        <v>-50</v>
      </c>
      <c r="E35" s="24" t="n">
        <v>-50</v>
      </c>
      <c r="F35" s="24" t="n">
        <v>-50</v>
      </c>
    </row>
    <row r="36" customFormat="false" ht="15" hidden="false" customHeight="false" outlineLevel="0" collapsed="false">
      <c r="A36" s="9" t="s">
        <v>91</v>
      </c>
      <c r="B36" s="10"/>
      <c r="C36" s="10"/>
      <c r="D36" s="10"/>
      <c r="E36" s="10"/>
      <c r="F36" s="10"/>
    </row>
    <row r="37" customFormat="false" ht="15" hidden="false" customHeight="false" outlineLevel="0" collapsed="false">
      <c r="A37" s="3" t="s">
        <v>92</v>
      </c>
      <c r="B37" s="3" t="s">
        <v>87</v>
      </c>
      <c r="C37" s="24" t="n">
        <v>3322</v>
      </c>
      <c r="D37" s="24" t="n">
        <v>3600</v>
      </c>
      <c r="E37" s="24" t="n">
        <v>3100</v>
      </c>
      <c r="F37" s="24" t="n">
        <v>2600</v>
      </c>
    </row>
    <row r="38" customFormat="false" ht="15" hidden="false" customHeight="false" outlineLevel="0" collapsed="false">
      <c r="A38" s="3" t="s">
        <v>93</v>
      </c>
      <c r="B38" s="3" t="s">
        <v>87</v>
      </c>
      <c r="C38" s="24" t="n">
        <v>2700</v>
      </c>
    </row>
    <row r="39" customFormat="false" ht="15" hidden="false" customHeight="false" outlineLevel="0" collapsed="false">
      <c r="A39" s="3" t="s">
        <v>94</v>
      </c>
      <c r="B39" s="3" t="s">
        <v>95</v>
      </c>
      <c r="C39" s="25" t="n">
        <v>0.05</v>
      </c>
    </row>
    <row r="40" customFormat="false" ht="15" hidden="false" customHeight="false" outlineLevel="0" collapsed="false">
      <c r="A40" s="3" t="s">
        <v>96</v>
      </c>
      <c r="B40" s="3" t="s">
        <v>95</v>
      </c>
      <c r="C40" s="25" t="n">
        <v>0.25</v>
      </c>
    </row>
    <row r="41" customFormat="false" ht="15" hidden="false" customHeight="false" outlineLevel="0" collapsed="false">
      <c r="A41" s="3" t="s">
        <v>97</v>
      </c>
      <c r="B41" s="3" t="s">
        <v>95</v>
      </c>
      <c r="C41" s="25" t="n">
        <v>0.13</v>
      </c>
    </row>
    <row r="42" customFormat="false" ht="15" hidden="false" customHeight="false" outlineLevel="0" collapsed="false">
      <c r="A42" s="3" t="s">
        <v>98</v>
      </c>
      <c r="B42" s="3" t="s">
        <v>87</v>
      </c>
      <c r="C42" s="24" t="n">
        <v>-200</v>
      </c>
    </row>
    <row r="43" customFormat="false" ht="15" hidden="false" customHeight="false" outlineLevel="0" collapsed="false">
      <c r="A43" s="3" t="s">
        <v>99</v>
      </c>
      <c r="B43" s="3" t="s">
        <v>100</v>
      </c>
      <c r="C43" s="26" t="n">
        <v>0.278</v>
      </c>
    </row>
    <row r="44" customFormat="false" ht="15" hidden="false" customHeight="false" outlineLevel="0" collapsed="false">
      <c r="A44" s="3" t="s">
        <v>101</v>
      </c>
      <c r="B44" s="3" t="s">
        <v>102</v>
      </c>
      <c r="C44" s="24" t="n">
        <v>1127</v>
      </c>
    </row>
    <row r="45" customFormat="false" ht="15" hidden="false" customHeight="false" outlineLevel="0" collapsed="false">
      <c r="A45" s="3" t="s">
        <v>103</v>
      </c>
      <c r="B45" s="3" t="s">
        <v>95</v>
      </c>
      <c r="C45" s="25" t="n">
        <v>0.4</v>
      </c>
    </row>
    <row r="46" customFormat="false" ht="15" hidden="false" customHeight="false" outlineLevel="0" collapsed="false">
      <c r="A46" s="3" t="s">
        <v>104</v>
      </c>
      <c r="B46" s="3" t="s">
        <v>87</v>
      </c>
      <c r="C46" s="24" t="n">
        <v>8571</v>
      </c>
    </row>
    <row r="47" customFormat="false" ht="15" hidden="false" customHeight="false" outlineLevel="0" collapsed="false">
      <c r="A47" s="9" t="s">
        <v>105</v>
      </c>
      <c r="B47" s="10"/>
      <c r="C47" s="10"/>
      <c r="D47" s="10"/>
      <c r="E47" s="10"/>
      <c r="F47" s="10"/>
    </row>
    <row r="48" customFormat="false" ht="15" hidden="false" customHeight="false" outlineLevel="0" collapsed="false">
      <c r="A48" s="3" t="s">
        <v>106</v>
      </c>
      <c r="B48" s="3" t="s">
        <v>87</v>
      </c>
      <c r="C48" s="24" t="n">
        <v>0</v>
      </c>
      <c r="D48" s="24" t="n">
        <v>3500</v>
      </c>
      <c r="E48" s="24" t="n">
        <v>0</v>
      </c>
      <c r="F48" s="24" t="n">
        <v>0</v>
      </c>
    </row>
    <row r="49" customFormat="false" ht="15" hidden="false" customHeight="false" outlineLevel="0" collapsed="false">
      <c r="A49" s="3" t="s">
        <v>107</v>
      </c>
      <c r="B49" s="3" t="s">
        <v>87</v>
      </c>
      <c r="C49" s="24" t="n">
        <v>0</v>
      </c>
      <c r="D49" s="24" t="n">
        <v>500</v>
      </c>
      <c r="E49" s="24" t="n">
        <v>0</v>
      </c>
      <c r="F49" s="24" t="n">
        <v>0</v>
      </c>
    </row>
    <row r="50" customFormat="false" ht="15" hidden="false" customHeight="false" outlineLevel="0" collapsed="false">
      <c r="A50" s="3" t="s">
        <v>108</v>
      </c>
      <c r="B50" s="3" t="s">
        <v>87</v>
      </c>
      <c r="C50" s="24" t="n">
        <v>0</v>
      </c>
      <c r="D50" s="24" t="n">
        <v>0</v>
      </c>
      <c r="E50" s="24" t="n">
        <v>3500</v>
      </c>
      <c r="F50" s="24" t="n">
        <v>0</v>
      </c>
    </row>
    <row r="51" customFormat="false" ht="15" hidden="false" customHeight="false" outlineLevel="0" collapsed="false">
      <c r="A51" s="3" t="s">
        <v>109</v>
      </c>
      <c r="B51" s="3" t="s">
        <v>87</v>
      </c>
      <c r="C51" s="24" t="n">
        <v>0</v>
      </c>
      <c r="D51" s="24" t="n">
        <v>0</v>
      </c>
      <c r="E51" s="24" t="n">
        <v>2800</v>
      </c>
      <c r="F51" s="24" t="n">
        <v>0</v>
      </c>
    </row>
    <row r="52" customFormat="false" ht="15" hidden="false" customHeight="false" outlineLevel="0" collapsed="false">
      <c r="A52" s="3" t="s">
        <v>110</v>
      </c>
      <c r="B52" s="3" t="s">
        <v>87</v>
      </c>
      <c r="C52" s="24" t="n">
        <v>0</v>
      </c>
      <c r="D52" s="24" t="n">
        <v>0</v>
      </c>
      <c r="E52" s="24" t="n">
        <v>2000</v>
      </c>
      <c r="F52" s="24" t="n">
        <v>0</v>
      </c>
    </row>
    <row r="53" customFormat="false" ht="15" hidden="false" customHeight="false" outlineLevel="0" collapsed="false">
      <c r="A53" s="9" t="s">
        <v>111</v>
      </c>
      <c r="B53" s="10"/>
      <c r="C53" s="10"/>
      <c r="D53" s="10"/>
      <c r="E53" s="10"/>
      <c r="F53" s="10"/>
    </row>
    <row r="54" customFormat="false" ht="15" hidden="false" customHeight="false" outlineLevel="0" collapsed="false">
      <c r="A54" s="3" t="s">
        <v>112</v>
      </c>
      <c r="B54" s="3" t="s">
        <v>113</v>
      </c>
      <c r="C54" s="22" t="n">
        <v>3804</v>
      </c>
    </row>
    <row r="55" customFormat="false" ht="15" hidden="false" customHeight="false" outlineLevel="0" collapsed="false">
      <c r="A55" s="3" t="s">
        <v>114</v>
      </c>
      <c r="B55" s="3" t="s">
        <v>100</v>
      </c>
      <c r="C55" s="26" t="n">
        <v>1.35</v>
      </c>
    </row>
    <row r="56" customFormat="false" ht="15" hidden="false" customHeight="false" outlineLevel="0" collapsed="false">
      <c r="A56" s="3" t="s">
        <v>115</v>
      </c>
      <c r="B56" s="3" t="s">
        <v>87</v>
      </c>
      <c r="C56" s="24" t="n">
        <v>8571</v>
      </c>
    </row>
    <row r="57" customFormat="false" ht="15" hidden="false" customHeight="false" outlineLevel="0" collapsed="false">
      <c r="A57" s="9" t="s">
        <v>116</v>
      </c>
      <c r="B57" s="10"/>
      <c r="C57" s="10"/>
      <c r="D57" s="10"/>
      <c r="E57" s="10"/>
      <c r="F57" s="10"/>
    </row>
    <row r="58" customFormat="false" ht="15" hidden="false" customHeight="false" outlineLevel="0" collapsed="false">
      <c r="A58" s="3" t="s">
        <v>117</v>
      </c>
      <c r="B58" s="3" t="s">
        <v>100</v>
      </c>
      <c r="C58" s="27" t="n">
        <v>1.3301</v>
      </c>
    </row>
    <row r="59" customFormat="false" ht="15" hidden="false" customHeight="false" outlineLevel="0" collapsed="false">
      <c r="A59" s="3" t="s">
        <v>118</v>
      </c>
      <c r="B59" s="3" t="s">
        <v>95</v>
      </c>
      <c r="C59" s="25" t="n">
        <v>0.624</v>
      </c>
    </row>
    <row r="60" customFormat="false" ht="15" hidden="false" customHeight="false" outlineLevel="0" collapsed="false">
      <c r="A60" s="3" t="s">
        <v>119</v>
      </c>
      <c r="B60" s="3" t="s">
        <v>95</v>
      </c>
      <c r="C60" s="25" t="n">
        <v>0.376</v>
      </c>
    </row>
    <row r="61" customFormat="false" ht="15" hidden="false" customHeight="false" outlineLevel="0" collapsed="false">
      <c r="A61" s="3" t="s">
        <v>120</v>
      </c>
      <c r="B61" s="3" t="s">
        <v>87</v>
      </c>
      <c r="C61" s="24" t="n">
        <v>4500</v>
      </c>
    </row>
    <row r="62" customFormat="false" ht="15" hidden="false" customHeight="false" outlineLevel="0" collapsed="false">
      <c r="A62" s="3" t="s">
        <v>121</v>
      </c>
      <c r="B62" s="3" t="s">
        <v>87</v>
      </c>
      <c r="C62" s="24" t="n">
        <v>800</v>
      </c>
    </row>
    <row r="63" customFormat="false" ht="15" hidden="false" customHeight="false" outlineLevel="0" collapsed="false">
      <c r="A63" s="3" t="s">
        <v>122</v>
      </c>
      <c r="B63" s="3" t="s">
        <v>87</v>
      </c>
      <c r="C63" s="24" t="n">
        <v>700</v>
      </c>
    </row>
    <row r="64" customFormat="false" ht="15" hidden="false" customHeight="false" outlineLevel="0" collapsed="false">
      <c r="A64" s="3" t="s">
        <v>123</v>
      </c>
      <c r="B64" s="3" t="s">
        <v>87</v>
      </c>
      <c r="C64" s="24" t="n">
        <v>2150</v>
      </c>
    </row>
    <row r="65" customFormat="false" ht="15" hidden="false" customHeight="false" outlineLevel="0" collapsed="false">
      <c r="A65" s="3" t="s">
        <v>124</v>
      </c>
      <c r="B65" s="3" t="s">
        <v>87</v>
      </c>
      <c r="C65" s="24" t="n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6" min="3" style="0" width="12"/>
  </cols>
  <sheetData>
    <row r="1" customFormat="false" ht="17.35" hidden="false" customHeight="false" outlineLevel="0" collapsed="false">
      <c r="A1" s="7" t="s">
        <v>125</v>
      </c>
    </row>
    <row r="2" customFormat="false" ht="15" hidden="false" customHeight="false" outlineLevel="0" collapsed="false">
      <c r="A2" s="8" t="s">
        <v>126</v>
      </c>
    </row>
    <row r="4" customFormat="false" ht="15" hidden="false" customHeight="false" outlineLevel="0" collapsed="false">
      <c r="A4" s="11" t="s">
        <v>127</v>
      </c>
      <c r="B4" s="11" t="s">
        <v>54</v>
      </c>
      <c r="C4" s="12" t="s">
        <v>25</v>
      </c>
      <c r="D4" s="12" t="s">
        <v>26</v>
      </c>
      <c r="E4" s="12" t="s">
        <v>27</v>
      </c>
      <c r="F4" s="12" t="s">
        <v>28</v>
      </c>
    </row>
    <row r="5" customFormat="false" ht="15" hidden="false" customHeight="false" outlineLevel="0" collapsed="false">
      <c r="A5" s="9" t="s">
        <v>128</v>
      </c>
      <c r="B5" s="10"/>
      <c r="C5" s="10"/>
      <c r="D5" s="10"/>
      <c r="E5" s="10"/>
      <c r="F5" s="10"/>
    </row>
    <row r="6" customFormat="false" ht="15" hidden="false" customHeight="false" outlineLevel="0" collapsed="false">
      <c r="A6" s="3" t="s">
        <v>129</v>
      </c>
      <c r="B6" s="3" t="s">
        <v>62</v>
      </c>
      <c r="C6" s="14" t="n">
        <f aca="false">Assumptions!C12</f>
        <v>695</v>
      </c>
      <c r="D6" s="14" t="n">
        <f aca="false">Assumptions!D12</f>
        <v>730</v>
      </c>
      <c r="E6" s="14" t="n">
        <f aca="false">Assumptions!E12</f>
        <v>780</v>
      </c>
      <c r="F6" s="14" t="n">
        <f aca="false">Assumptions!F12</f>
        <v>820</v>
      </c>
    </row>
    <row r="7" customFormat="false" ht="15" hidden="false" customHeight="false" outlineLevel="0" collapsed="false">
      <c r="A7" s="3" t="s">
        <v>130</v>
      </c>
      <c r="B7" s="3" t="s">
        <v>57</v>
      </c>
      <c r="C7" s="28" t="n">
        <f aca="false">Assumptions!C8</f>
        <v>9500</v>
      </c>
      <c r="D7" s="28" t="n">
        <f aca="false">Assumptions!D8</f>
        <v>11500</v>
      </c>
      <c r="E7" s="28" t="n">
        <f aca="false">Assumptions!E8</f>
        <v>10000</v>
      </c>
      <c r="F7" s="28" t="n">
        <f aca="false">Assumptions!F8</f>
        <v>10500</v>
      </c>
    </row>
    <row r="8" customFormat="false" ht="15" hidden="false" customHeight="false" outlineLevel="0" collapsed="false">
      <c r="A8" s="3" t="s">
        <v>131</v>
      </c>
      <c r="B8" s="3" t="s">
        <v>87</v>
      </c>
      <c r="C8" s="29" t="n">
        <f aca="false">C6*C7/1000</f>
        <v>6602.5</v>
      </c>
      <c r="D8" s="29" t="n">
        <f aca="false">D6*D7/1000</f>
        <v>8395</v>
      </c>
      <c r="E8" s="29" t="n">
        <f aca="false">E6*E7/1000</f>
        <v>7800</v>
      </c>
      <c r="F8" s="29" t="n">
        <f aca="false">F6*F7/1000</f>
        <v>8610</v>
      </c>
    </row>
    <row r="9" customFormat="false" ht="15" hidden="false" customHeight="false" outlineLevel="0" collapsed="false">
      <c r="A9" s="3" t="s">
        <v>132</v>
      </c>
      <c r="B9" s="3" t="s">
        <v>57</v>
      </c>
      <c r="C9" s="28" t="n">
        <f aca="false">Assumptions!C14</f>
        <v>3768</v>
      </c>
      <c r="D9" s="28" t="n">
        <f aca="false">Assumptions!D14</f>
        <v>4250</v>
      </c>
      <c r="E9" s="28" t="n">
        <f aca="false">Assumptions!E14</f>
        <v>4200</v>
      </c>
      <c r="F9" s="28" t="n">
        <f aca="false">Assumptions!F14</f>
        <v>4150</v>
      </c>
    </row>
    <row r="10" customFormat="false" ht="15" hidden="false" customHeight="false" outlineLevel="0" collapsed="false">
      <c r="A10" s="3" t="s">
        <v>133</v>
      </c>
      <c r="B10" s="3" t="s">
        <v>57</v>
      </c>
      <c r="C10" s="30" t="n">
        <f aca="false">MAX(0,(Assumptions!C26-Assumptions!C28)/10*Assumptions!C29)</f>
        <v>0</v>
      </c>
      <c r="D10" s="30" t="n">
        <f aca="false">MAX(0,(Assumptions!D26-Assumptions!C28)/10*Assumptions!C29)</f>
        <v>108</v>
      </c>
      <c r="E10" s="30" t="n">
        <f aca="false">MAX(0,(Assumptions!E26-Assumptions!C28)/10*Assumptions!C29)</f>
        <v>48</v>
      </c>
      <c r="F10" s="30" t="n">
        <f aca="false">MAX(0,(Assumptions!F26-Assumptions!C28)/10*Assumptions!C29)</f>
        <v>18</v>
      </c>
    </row>
    <row r="11" customFormat="false" ht="15" hidden="false" customHeight="false" outlineLevel="0" collapsed="false">
      <c r="A11" s="3" t="s">
        <v>134</v>
      </c>
      <c r="B11" s="3" t="s">
        <v>57</v>
      </c>
      <c r="C11" s="30" t="n">
        <f aca="false">C9+C10</f>
        <v>3768</v>
      </c>
      <c r="D11" s="30" t="n">
        <f aca="false">D9+D10</f>
        <v>4358</v>
      </c>
      <c r="E11" s="30" t="n">
        <f aca="false">E9+E10</f>
        <v>4248</v>
      </c>
      <c r="F11" s="30" t="n">
        <f aca="false">F9+F10</f>
        <v>4168</v>
      </c>
    </row>
    <row r="12" customFormat="false" ht="15" hidden="false" customHeight="false" outlineLevel="0" collapsed="false">
      <c r="A12" s="3" t="s">
        <v>135</v>
      </c>
      <c r="B12" s="3" t="s">
        <v>87</v>
      </c>
      <c r="C12" s="29" t="n">
        <f aca="false">C6*C11/1000</f>
        <v>2618.76</v>
      </c>
      <c r="D12" s="29" t="n">
        <f aca="false">D6*D11/1000</f>
        <v>3181.34</v>
      </c>
      <c r="E12" s="29" t="n">
        <f aca="false">E6*E11/1000</f>
        <v>3313.44</v>
      </c>
      <c r="F12" s="29" t="n">
        <f aca="false">F6*F11/1000</f>
        <v>3417.76</v>
      </c>
    </row>
    <row r="13" customFormat="false" ht="15" hidden="false" customHeight="false" outlineLevel="0" collapsed="false">
      <c r="A13" s="5" t="s">
        <v>136</v>
      </c>
      <c r="B13" s="3" t="s">
        <v>87</v>
      </c>
      <c r="C13" s="31" t="n">
        <f aca="false">C8-C12</f>
        <v>3983.74</v>
      </c>
      <c r="D13" s="31" t="n">
        <f aca="false">D8-D12</f>
        <v>5213.66</v>
      </c>
      <c r="E13" s="31" t="n">
        <f aca="false">E8-E12</f>
        <v>4486.56</v>
      </c>
      <c r="F13" s="31" t="n">
        <f aca="false">F8-F12</f>
        <v>5192.24</v>
      </c>
    </row>
    <row r="14" customFormat="false" ht="15" hidden="false" customHeight="false" outlineLevel="0" collapsed="false">
      <c r="A14" s="9" t="s">
        <v>137</v>
      </c>
      <c r="B14" s="10"/>
      <c r="C14" s="10"/>
      <c r="D14" s="10"/>
      <c r="E14" s="10"/>
      <c r="F14" s="10"/>
    </row>
    <row r="15" customFormat="false" ht="15" hidden="false" customHeight="false" outlineLevel="0" collapsed="false">
      <c r="A15" s="3" t="s">
        <v>129</v>
      </c>
      <c r="B15" s="3" t="s">
        <v>72</v>
      </c>
      <c r="C15" s="14" t="n">
        <f aca="false">Assumptions!C21</f>
        <v>60.8</v>
      </c>
      <c r="D15" s="14" t="n">
        <f aca="false">Assumptions!D21</f>
        <v>57</v>
      </c>
      <c r="E15" s="14" t="n">
        <f aca="false">Assumptions!E21</f>
        <v>61</v>
      </c>
      <c r="F15" s="14" t="n">
        <f aca="false">Assumptions!F21</f>
        <v>60</v>
      </c>
    </row>
    <row r="16" customFormat="false" ht="15" hidden="false" customHeight="false" outlineLevel="0" collapsed="false">
      <c r="A16" s="3" t="s">
        <v>130</v>
      </c>
      <c r="B16" s="3" t="s">
        <v>57</v>
      </c>
      <c r="C16" s="28" t="n">
        <f aca="false">Assumptions!C17</f>
        <v>92.7</v>
      </c>
      <c r="D16" s="28" t="n">
        <f aca="false">Assumptions!D17</f>
        <v>85</v>
      </c>
      <c r="E16" s="28" t="n">
        <f aca="false">Assumptions!E17</f>
        <v>78</v>
      </c>
      <c r="F16" s="28" t="n">
        <f aca="false">Assumptions!F17</f>
        <v>72</v>
      </c>
    </row>
    <row r="17" customFormat="false" ht="15" hidden="false" customHeight="false" outlineLevel="0" collapsed="false">
      <c r="A17" s="3" t="s">
        <v>131</v>
      </c>
      <c r="B17" s="3" t="s">
        <v>87</v>
      </c>
      <c r="C17" s="29" t="n">
        <f aca="false">C15*C16</f>
        <v>5636.16</v>
      </c>
      <c r="D17" s="29" t="n">
        <f aca="false">D15*D16</f>
        <v>4845</v>
      </c>
      <c r="E17" s="29" t="n">
        <f aca="false">E15*E16</f>
        <v>4758</v>
      </c>
      <c r="F17" s="29" t="n">
        <f aca="false">F15*F16</f>
        <v>4320</v>
      </c>
    </row>
    <row r="18" customFormat="false" ht="15" hidden="false" customHeight="false" outlineLevel="0" collapsed="false">
      <c r="A18" s="3" t="s">
        <v>132</v>
      </c>
      <c r="B18" s="3" t="s">
        <v>57</v>
      </c>
      <c r="C18" s="14" t="n">
        <f aca="false">Assumptions!C23</f>
        <v>45.4</v>
      </c>
      <c r="D18" s="14" t="n">
        <f aca="false">Assumptions!D23</f>
        <v>47</v>
      </c>
      <c r="E18" s="14" t="n">
        <f aca="false">Assumptions!E23</f>
        <v>47</v>
      </c>
      <c r="F18" s="14" t="n">
        <f aca="false">Assumptions!F23</f>
        <v>46</v>
      </c>
    </row>
    <row r="19" customFormat="false" ht="15" hidden="false" customHeight="false" outlineLevel="0" collapsed="false">
      <c r="A19" s="3" t="s">
        <v>133</v>
      </c>
      <c r="B19" s="3" t="s">
        <v>57</v>
      </c>
      <c r="C19" s="32" t="n">
        <f aca="false">MAX(0,(Assumptions!C26-Assumptions!C28)/10*Assumptions!C30)</f>
        <v>0</v>
      </c>
      <c r="D19" s="32" t="n">
        <f aca="false">MAX(0,(Assumptions!D26-Assumptions!C28)/10*Assumptions!C30)</f>
        <v>0.27</v>
      </c>
      <c r="E19" s="32" t="n">
        <f aca="false">MAX(0,(Assumptions!E26-Assumptions!C28)/10*Assumptions!C30)</f>
        <v>0.12</v>
      </c>
      <c r="F19" s="32" t="n">
        <f aca="false">MAX(0,(Assumptions!F26-Assumptions!C28)/10*Assumptions!C30)</f>
        <v>0.045</v>
      </c>
    </row>
    <row r="20" customFormat="false" ht="15" hidden="false" customHeight="false" outlineLevel="0" collapsed="false">
      <c r="A20" s="3" t="s">
        <v>134</v>
      </c>
      <c r="B20" s="3" t="s">
        <v>57</v>
      </c>
      <c r="C20" s="32" t="n">
        <f aca="false">C18+C19</f>
        <v>45.4</v>
      </c>
      <c r="D20" s="32" t="n">
        <f aca="false">D18+D19</f>
        <v>47.27</v>
      </c>
      <c r="E20" s="32" t="n">
        <f aca="false">E18+E19</f>
        <v>47.12</v>
      </c>
      <c r="F20" s="32" t="n">
        <f aca="false">F18+F19</f>
        <v>46.045</v>
      </c>
    </row>
    <row r="21" customFormat="false" ht="15" hidden="false" customHeight="false" outlineLevel="0" collapsed="false">
      <c r="A21" s="3" t="s">
        <v>135</v>
      </c>
      <c r="B21" s="3" t="s">
        <v>87</v>
      </c>
      <c r="C21" s="29" t="n">
        <f aca="false">C15*C20</f>
        <v>2760.32</v>
      </c>
      <c r="D21" s="29" t="n">
        <f aca="false">D15*D20</f>
        <v>2694.39</v>
      </c>
      <c r="E21" s="29" t="n">
        <f aca="false">E15*E20</f>
        <v>2874.32</v>
      </c>
      <c r="F21" s="29" t="n">
        <f aca="false">F15*F20</f>
        <v>2762.7</v>
      </c>
    </row>
    <row r="22" customFormat="false" ht="15" hidden="false" customHeight="false" outlineLevel="0" collapsed="false">
      <c r="A22" s="5" t="s">
        <v>138</v>
      </c>
      <c r="B22" s="3" t="s">
        <v>87</v>
      </c>
      <c r="C22" s="31" t="n">
        <f aca="false">C17-C21</f>
        <v>2875.84</v>
      </c>
      <c r="D22" s="31" t="n">
        <f aca="false">D17-D21</f>
        <v>2150.61</v>
      </c>
      <c r="E22" s="31" t="n">
        <f aca="false">E17-E21</f>
        <v>1883.68</v>
      </c>
      <c r="F22" s="31" t="n">
        <f aca="false">F17-F21</f>
        <v>1557.3</v>
      </c>
    </row>
    <row r="23" customFormat="false" ht="15" hidden="false" customHeight="false" outlineLevel="0" collapsed="false">
      <c r="A23" s="9" t="s">
        <v>139</v>
      </c>
      <c r="B23" s="10"/>
      <c r="C23" s="10"/>
      <c r="D23" s="10"/>
      <c r="E23" s="10"/>
      <c r="F23" s="10"/>
    </row>
    <row r="24" customFormat="false" ht="15" hidden="false" customHeight="false" outlineLevel="0" collapsed="false">
      <c r="A24" s="3" t="s">
        <v>46</v>
      </c>
      <c r="B24" s="3" t="s">
        <v>87</v>
      </c>
      <c r="C24" s="13" t="n">
        <f aca="false">Assumptions!C32</f>
        <v>127</v>
      </c>
      <c r="D24" s="13" t="n">
        <f aca="false">Assumptions!D32</f>
        <v>120</v>
      </c>
      <c r="E24" s="13" t="n">
        <f aca="false">Assumptions!E32</f>
        <v>120</v>
      </c>
      <c r="F24" s="13" t="n">
        <f aca="false">Assumptions!F32</f>
        <v>120</v>
      </c>
    </row>
    <row r="25" customFormat="false" ht="15" hidden="false" customHeight="false" outlineLevel="0" collapsed="false">
      <c r="A25" s="3" t="s">
        <v>140</v>
      </c>
      <c r="B25" s="3" t="s">
        <v>87</v>
      </c>
      <c r="C25" s="13" t="n">
        <f aca="false">Assumptions!C33</f>
        <v>-66</v>
      </c>
      <c r="D25" s="13" t="n">
        <f aca="false">Assumptions!D33</f>
        <v>-75</v>
      </c>
      <c r="E25" s="13" t="n">
        <f aca="false">Assumptions!E33</f>
        <v>-80</v>
      </c>
      <c r="F25" s="13" t="n">
        <f aca="false">Assumptions!F33</f>
        <v>-85</v>
      </c>
    </row>
    <row r="26" customFormat="false" ht="15" hidden="false" customHeight="false" outlineLevel="0" collapsed="false">
      <c r="A26" s="3" t="s">
        <v>48</v>
      </c>
      <c r="B26" s="3" t="s">
        <v>87</v>
      </c>
      <c r="C26" s="13" t="n">
        <f aca="false">Assumptions!C34</f>
        <v>-511</v>
      </c>
      <c r="D26" s="13" t="n">
        <f aca="false">Assumptions!D34</f>
        <v>-350</v>
      </c>
      <c r="E26" s="13" t="n">
        <f aca="false">Assumptions!E34</f>
        <v>0</v>
      </c>
      <c r="F26" s="13" t="n">
        <f aca="false">Assumptions!F34</f>
        <v>0</v>
      </c>
    </row>
    <row r="27" customFormat="false" ht="15" hidden="false" customHeight="false" outlineLevel="0" collapsed="false">
      <c r="A27" s="3" t="s">
        <v>90</v>
      </c>
      <c r="B27" s="3" t="s">
        <v>87</v>
      </c>
      <c r="C27" s="13" t="n">
        <f aca="false">Assumptions!C35</f>
        <v>11</v>
      </c>
      <c r="D27" s="13" t="n">
        <f aca="false">Assumptions!D35</f>
        <v>-50</v>
      </c>
      <c r="E27" s="13" t="n">
        <f aca="false">Assumptions!E35</f>
        <v>-50</v>
      </c>
      <c r="F27" s="13" t="n">
        <f aca="false">Assumptions!F35</f>
        <v>-50</v>
      </c>
    </row>
    <row r="28" customFormat="false" ht="15" hidden="false" customHeight="false" outlineLevel="0" collapsed="false">
      <c r="A28" s="5" t="s">
        <v>141</v>
      </c>
      <c r="B28" s="3" t="s">
        <v>87</v>
      </c>
      <c r="C28" s="33" t="n">
        <f aca="false">C13+C22+C24+C25+C26+C27</f>
        <v>6420.58</v>
      </c>
      <c r="D28" s="33" t="n">
        <f aca="false">D13+D22+D24+D25+D26+D27</f>
        <v>7009.27</v>
      </c>
      <c r="E28" s="33" t="n">
        <f aca="false">E13+E22+E24+E25+E26+E27</f>
        <v>6360.24</v>
      </c>
      <c r="F28" s="33" t="n">
        <f aca="false">F13+F22+F24+F25+F26+F27</f>
        <v>6734.54</v>
      </c>
    </row>
    <row r="29" customFormat="false" ht="15" hidden="false" customHeight="false" outlineLevel="0" collapsed="false">
      <c r="A29" s="3" t="s">
        <v>142</v>
      </c>
      <c r="B29" s="3" t="s">
        <v>95</v>
      </c>
      <c r="C29" s="34" t="s">
        <v>143</v>
      </c>
      <c r="D29" s="34" t="n">
        <f aca="false">D28/C28-1</f>
        <v>0.0916879783446354</v>
      </c>
      <c r="E29" s="34" t="n">
        <f aca="false">E28/D28-1</f>
        <v>-0.092595947937517</v>
      </c>
      <c r="F29" s="34" t="n">
        <f aca="false">F28/E28-1</f>
        <v>0.0588499805038802</v>
      </c>
    </row>
    <row r="30" customFormat="false" ht="15" hidden="false" customHeight="false" outlineLevel="0" collapsed="false">
      <c r="A30" s="9" t="s">
        <v>144</v>
      </c>
      <c r="B30" s="10"/>
      <c r="C30" s="10"/>
      <c r="D30" s="10"/>
      <c r="E30" s="10"/>
      <c r="F30" s="10"/>
    </row>
    <row r="31" customFormat="false" ht="15" hidden="false" customHeight="false" outlineLevel="0" collapsed="false">
      <c r="A31" s="3" t="s">
        <v>145</v>
      </c>
      <c r="B31" s="3" t="s">
        <v>87</v>
      </c>
      <c r="C31" s="13" t="n">
        <f aca="false">-Assumptions!C38</f>
        <v>-2700</v>
      </c>
      <c r="D31" s="13" t="n">
        <f aca="false">-Assumptions!C38</f>
        <v>-2700</v>
      </c>
      <c r="E31" s="13" t="n">
        <f aca="false">-Assumptions!C38</f>
        <v>-2700</v>
      </c>
      <c r="F31" s="13" t="n">
        <f aca="false">-Assumptions!C38</f>
        <v>-2700</v>
      </c>
    </row>
    <row r="32" customFormat="false" ht="15" hidden="false" customHeight="false" outlineLevel="0" collapsed="false">
      <c r="A32" s="3" t="s">
        <v>146</v>
      </c>
      <c r="B32" s="3" t="s">
        <v>87</v>
      </c>
      <c r="C32" s="29" t="n">
        <f aca="false">C28+C31</f>
        <v>3720.58</v>
      </c>
      <c r="D32" s="29" t="n">
        <f aca="false">D28+D31</f>
        <v>4309.27</v>
      </c>
      <c r="E32" s="29" t="n">
        <f aca="false">E28+E31</f>
        <v>3660.24</v>
      </c>
      <c r="F32" s="29" t="n">
        <f aca="false">F28+F31</f>
        <v>4034.54</v>
      </c>
    </row>
    <row r="33" customFormat="false" ht="15" hidden="false" customHeight="false" outlineLevel="0" collapsed="false">
      <c r="A33" s="3" t="s">
        <v>147</v>
      </c>
      <c r="B33" s="3" t="s">
        <v>87</v>
      </c>
      <c r="C33" s="13" t="n">
        <f aca="false">Assumptions!C46</f>
        <v>8571</v>
      </c>
      <c r="D33" s="13" t="n">
        <f aca="false">Assumptions!C46</f>
        <v>8571</v>
      </c>
      <c r="E33" s="29" t="n">
        <f aca="false">D44</f>
        <v>4103.201164</v>
      </c>
      <c r="F33" s="29" t="n">
        <f aca="false">E44</f>
        <v>522.927297178161</v>
      </c>
    </row>
    <row r="34" customFormat="false" ht="15" hidden="false" customHeight="false" outlineLevel="0" collapsed="false">
      <c r="A34" s="3" t="s">
        <v>148</v>
      </c>
      <c r="B34" s="3" t="s">
        <v>87</v>
      </c>
      <c r="C34" s="29" t="n">
        <f aca="false">-MAX(0,C33)*Assumptions!C39</f>
        <v>-428.55</v>
      </c>
      <c r="D34" s="29" t="n">
        <f aca="false">-MAX(0,D33)*Assumptions!C39</f>
        <v>-428.55</v>
      </c>
      <c r="E34" s="29" t="n">
        <f aca="false">-MAX(0,E33)*Assumptions!C39</f>
        <v>-205.1600582</v>
      </c>
      <c r="F34" s="29" t="n">
        <f aca="false">-MAX(0,F33)*Assumptions!C39</f>
        <v>-26.146364858908</v>
      </c>
    </row>
    <row r="35" customFormat="false" ht="15" hidden="false" customHeight="false" outlineLevel="0" collapsed="false">
      <c r="A35" s="3" t="s">
        <v>149</v>
      </c>
      <c r="B35" s="3" t="s">
        <v>87</v>
      </c>
      <c r="C35" s="29" t="n">
        <f aca="false">-Assumptions!C40*MAX(0,C32+C34)</f>
        <v>-823.0075</v>
      </c>
      <c r="D35" s="29" t="n">
        <f aca="false">-Assumptions!C40*MAX(0,D32+D34)</f>
        <v>-970.18</v>
      </c>
      <c r="E35" s="29" t="n">
        <f aca="false">-Assumptions!C40*MAX(0,E32+E34)</f>
        <v>-863.76998545</v>
      </c>
      <c r="F35" s="29" t="n">
        <f aca="false">-Assumptions!C40*MAX(0,F32+F34)</f>
        <v>-1002.09840878527</v>
      </c>
    </row>
    <row r="36" customFormat="false" ht="15" hidden="false" customHeight="false" outlineLevel="0" collapsed="false">
      <c r="A36" s="3" t="s">
        <v>150</v>
      </c>
      <c r="B36" s="3" t="s">
        <v>87</v>
      </c>
      <c r="C36" s="29" t="n">
        <f aca="false">-Assumptions!C41*C28</f>
        <v>-834.6754</v>
      </c>
      <c r="D36" s="29" t="n">
        <f aca="false">-Assumptions!C41*D28</f>
        <v>-911.2051</v>
      </c>
      <c r="E36" s="29" t="n">
        <f aca="false">-Assumptions!C41*E28</f>
        <v>-826.8312</v>
      </c>
      <c r="F36" s="29" t="n">
        <f aca="false">-Assumptions!C41*F28</f>
        <v>-875.4902</v>
      </c>
    </row>
    <row r="37" customFormat="false" ht="15" hidden="false" customHeight="false" outlineLevel="0" collapsed="false">
      <c r="A37" s="3" t="s">
        <v>151</v>
      </c>
      <c r="B37" s="3" t="s">
        <v>87</v>
      </c>
      <c r="C37" s="13" t="n">
        <f aca="false">Assumptions!C42</f>
        <v>-200</v>
      </c>
      <c r="D37" s="13" t="n">
        <f aca="false">Assumptions!C42</f>
        <v>-200</v>
      </c>
      <c r="E37" s="13" t="n">
        <f aca="false">Assumptions!C42</f>
        <v>-200</v>
      </c>
      <c r="F37" s="13" t="n">
        <f aca="false">Assumptions!C42</f>
        <v>-200</v>
      </c>
    </row>
    <row r="38" customFormat="false" ht="15" hidden="false" customHeight="false" outlineLevel="0" collapsed="false">
      <c r="A38" s="3" t="s">
        <v>152</v>
      </c>
      <c r="B38" s="3" t="s">
        <v>87</v>
      </c>
      <c r="C38" s="13" t="n">
        <f aca="false">-Assumptions!C37</f>
        <v>-3322</v>
      </c>
      <c r="D38" s="13" t="n">
        <f aca="false">-Assumptions!D37</f>
        <v>-3600</v>
      </c>
      <c r="E38" s="13" t="n">
        <f aca="false">-Assumptions!E37</f>
        <v>-3100</v>
      </c>
      <c r="F38" s="13" t="n">
        <f aca="false">-Assumptions!F37</f>
        <v>-2600</v>
      </c>
    </row>
    <row r="39" customFormat="false" ht="15" hidden="false" customHeight="false" outlineLevel="0" collapsed="false">
      <c r="A39" s="5" t="s">
        <v>153</v>
      </c>
      <c r="B39" s="3" t="s">
        <v>87</v>
      </c>
      <c r="C39" s="31" t="n">
        <f aca="false">C28+C34+C35+C36+C37+C38</f>
        <v>812.3471</v>
      </c>
      <c r="D39" s="31" t="n">
        <f aca="false">D28+D34+D35+D36+D37+D38</f>
        <v>899.334899999999</v>
      </c>
      <c r="E39" s="31" t="n">
        <f aca="false">E28+E34+E35+E36+E37+E38</f>
        <v>1164.47875635</v>
      </c>
      <c r="F39" s="31" t="n">
        <f aca="false">F28+F34+F35+F36+F37+F38</f>
        <v>2030.80502635582</v>
      </c>
    </row>
    <row r="40" customFormat="false" ht="15" hidden="false" customHeight="false" outlineLevel="0" collapsed="false">
      <c r="A40" s="3" t="s">
        <v>154</v>
      </c>
      <c r="B40" s="3" t="s">
        <v>87</v>
      </c>
      <c r="C40" s="29" t="n">
        <f aca="false">Assumptions!C43*MAX(0,C28+C31+C34)</f>
        <v>915.18434</v>
      </c>
      <c r="D40" s="29" t="n">
        <f aca="false">Assumptions!C43*MAX(0,D28+D31+D34)</f>
        <v>1078.84016</v>
      </c>
      <c r="E40" s="29" t="n">
        <f aca="false">Assumptions!C43*MAX(0,E28+E31+E34)</f>
        <v>960.5122238204</v>
      </c>
      <c r="F40" s="29" t="n">
        <f aca="false">Assumptions!C43*MAX(0,F28+F31+F34)</f>
        <v>1114.33343056922</v>
      </c>
    </row>
    <row r="41" customFormat="false" ht="15" hidden="false" customHeight="false" outlineLevel="0" collapsed="false">
      <c r="A41" s="3" t="s">
        <v>155</v>
      </c>
      <c r="B41" s="3" t="s">
        <v>156</v>
      </c>
      <c r="C41" s="32" t="n">
        <f aca="false">C40/Assumptions!C44*100</f>
        <v>81.2053540372671</v>
      </c>
      <c r="D41" s="32" t="n">
        <f aca="false">D40/Assumptions!C44*100</f>
        <v>95.7267222715173</v>
      </c>
      <c r="E41" s="32" t="n">
        <f aca="false">E40/Assumptions!C44*100</f>
        <v>85.2273490523869</v>
      </c>
      <c r="F41" s="32" t="n">
        <f aca="false">F40/Assumptions!C44*100</f>
        <v>98.8760807958495</v>
      </c>
    </row>
    <row r="42" customFormat="false" ht="15" hidden="false" customHeight="false" outlineLevel="0" collapsed="false">
      <c r="A42" s="3" t="s">
        <v>157</v>
      </c>
      <c r="B42" s="3" t="s">
        <v>87</v>
      </c>
      <c r="C42" s="29" t="n">
        <f aca="false">-Assumptions!C45*C40</f>
        <v>-366.073736</v>
      </c>
      <c r="D42" s="29" t="n">
        <f aca="false">-Assumptions!C45*D40</f>
        <v>-431.536064</v>
      </c>
      <c r="E42" s="29" t="n">
        <f aca="false">-Assumptions!C45*E40</f>
        <v>-384.20488952816</v>
      </c>
      <c r="F42" s="29" t="n">
        <f aca="false">-Assumptions!C45*F40</f>
        <v>-445.733372227689</v>
      </c>
    </row>
    <row r="43" customFormat="false" ht="15" hidden="false" customHeight="false" outlineLevel="0" collapsed="false">
      <c r="A43" s="3" t="s">
        <v>158</v>
      </c>
      <c r="B43" s="3" t="s">
        <v>87</v>
      </c>
      <c r="C43" s="13" t="n">
        <f aca="false">Assumptions!C48+Assumptions!C49+Assumptions!C51</f>
        <v>0</v>
      </c>
      <c r="D43" s="13" t="n">
        <f aca="false">Assumptions!D48+Assumptions!D49+Assumptions!D51</f>
        <v>4000</v>
      </c>
      <c r="E43" s="13" t="n">
        <f aca="false">Assumptions!E48+Assumptions!E49+Assumptions!E51</f>
        <v>2800</v>
      </c>
      <c r="F43" s="13" t="n">
        <f aca="false">Assumptions!F48+Assumptions!F49+Assumptions!F51</f>
        <v>0</v>
      </c>
    </row>
    <row r="44" customFormat="false" ht="15" hidden="false" customHeight="false" outlineLevel="0" collapsed="false">
      <c r="A44" s="5" t="s">
        <v>159</v>
      </c>
      <c r="B44" s="3" t="s">
        <v>87</v>
      </c>
      <c r="C44" s="33" t="n">
        <f aca="false">Assumptions!C46</f>
        <v>8571</v>
      </c>
      <c r="D44" s="33" t="n">
        <f aca="false">D33-D39-D42-D43</f>
        <v>4103.201164</v>
      </c>
      <c r="E44" s="33" t="n">
        <f aca="false">E33-E39-E42-E43</f>
        <v>522.927297178161</v>
      </c>
      <c r="F44" s="33" t="n">
        <f aca="false">F33-F39-F42-F43</f>
        <v>-1062.14435694997</v>
      </c>
    </row>
    <row r="45" customFormat="false" ht="15" hidden="false" customHeight="false" outlineLevel="0" collapsed="false">
      <c r="A45" s="3" t="s">
        <v>160</v>
      </c>
      <c r="B45" s="3" t="s">
        <v>100</v>
      </c>
      <c r="C45" s="35" t="n">
        <f aca="false">C44/C28</f>
        <v>1.33492612816911</v>
      </c>
      <c r="D45" s="35" t="n">
        <f aca="false">D44/D28</f>
        <v>0.58539636281667</v>
      </c>
      <c r="E45" s="35" t="n">
        <f aca="false">E44/E28</f>
        <v>0.0822181705687459</v>
      </c>
      <c r="F45" s="35" t="n">
        <f aca="false">F44/F28</f>
        <v>-0.157715947481189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6" min="3" style="0" width="12"/>
  </cols>
  <sheetData>
    <row r="1" customFormat="false" ht="17.35" hidden="false" customHeight="false" outlineLevel="0" collapsed="false">
      <c r="A1" s="7" t="s">
        <v>161</v>
      </c>
    </row>
    <row r="2" customFormat="false" ht="15" hidden="false" customHeight="false" outlineLevel="0" collapsed="false">
      <c r="A2" s="8" t="s">
        <v>126</v>
      </c>
    </row>
    <row r="4" customFormat="false" ht="15" hidden="false" customHeight="false" outlineLevel="0" collapsed="false">
      <c r="A4" s="11" t="s">
        <v>127</v>
      </c>
      <c r="B4" s="11" t="s">
        <v>54</v>
      </c>
      <c r="C4" s="12" t="s">
        <v>25</v>
      </c>
      <c r="D4" s="12" t="s">
        <v>26</v>
      </c>
      <c r="E4" s="12" t="s">
        <v>27</v>
      </c>
      <c r="F4" s="12" t="s">
        <v>28</v>
      </c>
    </row>
    <row r="5" customFormat="false" ht="15" hidden="false" customHeight="false" outlineLevel="0" collapsed="false">
      <c r="A5" s="9" t="s">
        <v>128</v>
      </c>
      <c r="B5" s="10"/>
      <c r="C5" s="10"/>
      <c r="D5" s="10"/>
      <c r="E5" s="10"/>
      <c r="F5" s="10"/>
    </row>
    <row r="6" customFormat="false" ht="15" hidden="false" customHeight="false" outlineLevel="0" collapsed="false">
      <c r="A6" s="3" t="s">
        <v>129</v>
      </c>
      <c r="B6" s="3" t="s">
        <v>62</v>
      </c>
      <c r="C6" s="14" t="n">
        <f aca="false">Assumptions!C11</f>
        <v>695</v>
      </c>
      <c r="D6" s="14" t="n">
        <f aca="false">Assumptions!D11</f>
        <v>760</v>
      </c>
      <c r="E6" s="14" t="n">
        <f aca="false">Assumptions!E11</f>
        <v>810</v>
      </c>
      <c r="F6" s="14" t="n">
        <f aca="false">Assumptions!F11</f>
        <v>850</v>
      </c>
    </row>
    <row r="7" customFormat="false" ht="15" hidden="false" customHeight="false" outlineLevel="0" collapsed="false">
      <c r="A7" s="3" t="s">
        <v>130</v>
      </c>
      <c r="B7" s="3" t="s">
        <v>57</v>
      </c>
      <c r="C7" s="28" t="n">
        <f aca="false">Assumptions!C7</f>
        <v>9500</v>
      </c>
      <c r="D7" s="28" t="n">
        <f aca="false">Assumptions!D7</f>
        <v>13500</v>
      </c>
      <c r="E7" s="28" t="n">
        <f aca="false">Assumptions!E7</f>
        <v>14000</v>
      </c>
      <c r="F7" s="28" t="n">
        <f aca="false">Assumptions!F7</f>
        <v>14500</v>
      </c>
    </row>
    <row r="8" customFormat="false" ht="15" hidden="false" customHeight="false" outlineLevel="0" collapsed="false">
      <c r="A8" s="3" t="s">
        <v>131</v>
      </c>
      <c r="B8" s="3" t="s">
        <v>87</v>
      </c>
      <c r="C8" s="29" t="n">
        <f aca="false">C6*C7/1000</f>
        <v>6602.5</v>
      </c>
      <c r="D8" s="29" t="n">
        <f aca="false">D6*D7/1000</f>
        <v>10260</v>
      </c>
      <c r="E8" s="29" t="n">
        <f aca="false">E6*E7/1000</f>
        <v>11340</v>
      </c>
      <c r="F8" s="29" t="n">
        <f aca="false">F6*F7/1000</f>
        <v>12325</v>
      </c>
    </row>
    <row r="9" customFormat="false" ht="15" hidden="false" customHeight="false" outlineLevel="0" collapsed="false">
      <c r="A9" s="3" t="s">
        <v>132</v>
      </c>
      <c r="B9" s="3" t="s">
        <v>57</v>
      </c>
      <c r="C9" s="28" t="n">
        <f aca="false">Assumptions!C14</f>
        <v>3768</v>
      </c>
      <c r="D9" s="28" t="n">
        <f aca="false">Assumptions!D14</f>
        <v>4250</v>
      </c>
      <c r="E9" s="28" t="n">
        <f aca="false">Assumptions!E14</f>
        <v>4200</v>
      </c>
      <c r="F9" s="28" t="n">
        <f aca="false">Assumptions!F14</f>
        <v>4150</v>
      </c>
    </row>
    <row r="10" customFormat="false" ht="15" hidden="false" customHeight="false" outlineLevel="0" collapsed="false">
      <c r="A10" s="3" t="s">
        <v>133</v>
      </c>
      <c r="B10" s="3" t="s">
        <v>57</v>
      </c>
      <c r="C10" s="30" t="n">
        <f aca="false">MAX(0,(Assumptions!C25-Assumptions!C28)/10*Assumptions!C29)</f>
        <v>0</v>
      </c>
      <c r="D10" s="30" t="n">
        <f aca="false">MAX(0,(Assumptions!D25-Assumptions!C28)/10*Assumptions!C29)</f>
        <v>18</v>
      </c>
      <c r="E10" s="30" t="n">
        <f aca="false">MAX(0,(Assumptions!E25-Assumptions!C28)/10*Assumptions!C29)</f>
        <v>0</v>
      </c>
      <c r="F10" s="30" t="n">
        <f aca="false">MAX(0,(Assumptions!F25-Assumptions!C28)/10*Assumptions!C29)</f>
        <v>0</v>
      </c>
    </row>
    <row r="11" customFormat="false" ht="15" hidden="false" customHeight="false" outlineLevel="0" collapsed="false">
      <c r="A11" s="3" t="s">
        <v>134</v>
      </c>
      <c r="B11" s="3" t="s">
        <v>57</v>
      </c>
      <c r="C11" s="30" t="n">
        <f aca="false">C9+C10</f>
        <v>3768</v>
      </c>
      <c r="D11" s="30" t="n">
        <f aca="false">D9+D10</f>
        <v>4268</v>
      </c>
      <c r="E11" s="30" t="n">
        <f aca="false">E9+E10</f>
        <v>4200</v>
      </c>
      <c r="F11" s="30" t="n">
        <f aca="false">F9+F10</f>
        <v>4150</v>
      </c>
    </row>
    <row r="12" customFormat="false" ht="15" hidden="false" customHeight="false" outlineLevel="0" collapsed="false">
      <c r="A12" s="3" t="s">
        <v>135</v>
      </c>
      <c r="B12" s="3" t="s">
        <v>87</v>
      </c>
      <c r="C12" s="29" t="n">
        <f aca="false">C6*C11/1000</f>
        <v>2618.76</v>
      </c>
      <c r="D12" s="29" t="n">
        <f aca="false">D6*D11/1000</f>
        <v>3243.68</v>
      </c>
      <c r="E12" s="29" t="n">
        <f aca="false">E6*E11/1000</f>
        <v>3402</v>
      </c>
      <c r="F12" s="29" t="n">
        <f aca="false">F6*F11/1000</f>
        <v>3527.5</v>
      </c>
    </row>
    <row r="13" customFormat="false" ht="15" hidden="false" customHeight="false" outlineLevel="0" collapsed="false">
      <c r="A13" s="5" t="s">
        <v>136</v>
      </c>
      <c r="B13" s="3" t="s">
        <v>87</v>
      </c>
      <c r="C13" s="31" t="n">
        <f aca="false">C8-C12</f>
        <v>3983.74</v>
      </c>
      <c r="D13" s="31" t="n">
        <f aca="false">D8-D12</f>
        <v>7016.32</v>
      </c>
      <c r="E13" s="31" t="n">
        <f aca="false">E8-E12</f>
        <v>7938</v>
      </c>
      <c r="F13" s="31" t="n">
        <f aca="false">F8-F12</f>
        <v>8797.5</v>
      </c>
    </row>
    <row r="14" customFormat="false" ht="15" hidden="false" customHeight="false" outlineLevel="0" collapsed="false">
      <c r="A14" s="9" t="s">
        <v>137</v>
      </c>
      <c r="B14" s="10"/>
      <c r="C14" s="10"/>
      <c r="D14" s="10"/>
      <c r="E14" s="10"/>
      <c r="F14" s="10"/>
    </row>
    <row r="15" customFormat="false" ht="15" hidden="false" customHeight="false" outlineLevel="0" collapsed="false">
      <c r="A15" s="3" t="s">
        <v>129</v>
      </c>
      <c r="B15" s="3" t="s">
        <v>72</v>
      </c>
      <c r="C15" s="14" t="n">
        <f aca="false">Assumptions!C20</f>
        <v>60.8</v>
      </c>
      <c r="D15" s="14" t="n">
        <f aca="false">Assumptions!D20</f>
        <v>59</v>
      </c>
      <c r="E15" s="14" t="n">
        <f aca="false">Assumptions!E20</f>
        <v>63</v>
      </c>
      <c r="F15" s="14" t="n">
        <f aca="false">Assumptions!F20</f>
        <v>62</v>
      </c>
    </row>
    <row r="16" customFormat="false" ht="15" hidden="false" customHeight="false" outlineLevel="0" collapsed="false">
      <c r="A16" s="3" t="s">
        <v>130</v>
      </c>
      <c r="B16" s="3" t="s">
        <v>57</v>
      </c>
      <c r="C16" s="28" t="n">
        <f aca="false">Assumptions!C16</f>
        <v>92.7</v>
      </c>
      <c r="D16" s="28" t="n">
        <f aca="false">Assumptions!D16</f>
        <v>95</v>
      </c>
      <c r="E16" s="28" t="n">
        <f aca="false">Assumptions!E16</f>
        <v>90</v>
      </c>
      <c r="F16" s="28" t="n">
        <f aca="false">Assumptions!F16</f>
        <v>88</v>
      </c>
    </row>
    <row r="17" customFormat="false" ht="15" hidden="false" customHeight="false" outlineLevel="0" collapsed="false">
      <c r="A17" s="3" t="s">
        <v>131</v>
      </c>
      <c r="B17" s="3" t="s">
        <v>87</v>
      </c>
      <c r="C17" s="29" t="n">
        <f aca="false">C15*C16</f>
        <v>5636.16</v>
      </c>
      <c r="D17" s="29" t="n">
        <f aca="false">D15*D16</f>
        <v>5605</v>
      </c>
      <c r="E17" s="29" t="n">
        <f aca="false">E15*E16</f>
        <v>5670</v>
      </c>
      <c r="F17" s="29" t="n">
        <f aca="false">F15*F16</f>
        <v>5456</v>
      </c>
    </row>
    <row r="18" customFormat="false" ht="15" hidden="false" customHeight="false" outlineLevel="0" collapsed="false">
      <c r="A18" s="3" t="s">
        <v>132</v>
      </c>
      <c r="B18" s="3" t="s">
        <v>57</v>
      </c>
      <c r="C18" s="14" t="n">
        <f aca="false">Assumptions!C23</f>
        <v>45.4</v>
      </c>
      <c r="D18" s="14" t="n">
        <f aca="false">Assumptions!D23</f>
        <v>47</v>
      </c>
      <c r="E18" s="14" t="n">
        <f aca="false">Assumptions!E23</f>
        <v>47</v>
      </c>
      <c r="F18" s="14" t="n">
        <f aca="false">Assumptions!F23</f>
        <v>46</v>
      </c>
    </row>
    <row r="19" customFormat="false" ht="15" hidden="false" customHeight="false" outlineLevel="0" collapsed="false">
      <c r="A19" s="3" t="s">
        <v>133</v>
      </c>
      <c r="B19" s="3" t="s">
        <v>57</v>
      </c>
      <c r="C19" s="32" t="n">
        <f aca="false">MAX(0,(Assumptions!C25-Assumptions!C28)/10*Assumptions!C30)</f>
        <v>0</v>
      </c>
      <c r="D19" s="32" t="n">
        <f aca="false">MAX(0,(Assumptions!D25-Assumptions!C28)/10*Assumptions!C30)</f>
        <v>0.045</v>
      </c>
      <c r="E19" s="32" t="n">
        <f aca="false">MAX(0,(Assumptions!E25-Assumptions!C28)/10*Assumptions!C30)</f>
        <v>0</v>
      </c>
      <c r="F19" s="32" t="n">
        <f aca="false">MAX(0,(Assumptions!F25-Assumptions!C28)/10*Assumptions!C30)</f>
        <v>0</v>
      </c>
    </row>
    <row r="20" customFormat="false" ht="15" hidden="false" customHeight="false" outlineLevel="0" collapsed="false">
      <c r="A20" s="3" t="s">
        <v>134</v>
      </c>
      <c r="B20" s="3" t="s">
        <v>57</v>
      </c>
      <c r="C20" s="32" t="n">
        <f aca="false">C18+C19</f>
        <v>45.4</v>
      </c>
      <c r="D20" s="32" t="n">
        <f aca="false">D18+D19</f>
        <v>47.045</v>
      </c>
      <c r="E20" s="32" t="n">
        <f aca="false">E18+E19</f>
        <v>47</v>
      </c>
      <c r="F20" s="32" t="n">
        <f aca="false">F18+F19</f>
        <v>46</v>
      </c>
    </row>
    <row r="21" customFormat="false" ht="15" hidden="false" customHeight="false" outlineLevel="0" collapsed="false">
      <c r="A21" s="3" t="s">
        <v>135</v>
      </c>
      <c r="B21" s="3" t="s">
        <v>87</v>
      </c>
      <c r="C21" s="29" t="n">
        <f aca="false">C15*C20</f>
        <v>2760.32</v>
      </c>
      <c r="D21" s="29" t="n">
        <f aca="false">D15*D20</f>
        <v>2775.655</v>
      </c>
      <c r="E21" s="29" t="n">
        <f aca="false">E15*E20</f>
        <v>2961</v>
      </c>
      <c r="F21" s="29" t="n">
        <f aca="false">F15*F20</f>
        <v>2852</v>
      </c>
    </row>
    <row r="22" customFormat="false" ht="15" hidden="false" customHeight="false" outlineLevel="0" collapsed="false">
      <c r="A22" s="5" t="s">
        <v>138</v>
      </c>
      <c r="B22" s="3" t="s">
        <v>87</v>
      </c>
      <c r="C22" s="31" t="n">
        <f aca="false">C17-C21</f>
        <v>2875.84</v>
      </c>
      <c r="D22" s="31" t="n">
        <f aca="false">D17-D21</f>
        <v>2829.345</v>
      </c>
      <c r="E22" s="31" t="n">
        <f aca="false">E17-E21</f>
        <v>2709</v>
      </c>
      <c r="F22" s="31" t="n">
        <f aca="false">F17-F21</f>
        <v>2604</v>
      </c>
    </row>
    <row r="23" customFormat="false" ht="15" hidden="false" customHeight="false" outlineLevel="0" collapsed="false">
      <c r="A23" s="9" t="s">
        <v>139</v>
      </c>
      <c r="B23" s="10"/>
      <c r="C23" s="10"/>
      <c r="D23" s="10"/>
      <c r="E23" s="10"/>
      <c r="F23" s="10"/>
    </row>
    <row r="24" customFormat="false" ht="15" hidden="false" customHeight="false" outlineLevel="0" collapsed="false">
      <c r="A24" s="3" t="s">
        <v>46</v>
      </c>
      <c r="B24" s="3" t="s">
        <v>87</v>
      </c>
      <c r="C24" s="13" t="n">
        <f aca="false">Assumptions!C32</f>
        <v>127</v>
      </c>
      <c r="D24" s="13" t="n">
        <f aca="false">Assumptions!D32</f>
        <v>120</v>
      </c>
      <c r="E24" s="13" t="n">
        <f aca="false">Assumptions!E32</f>
        <v>120</v>
      </c>
      <c r="F24" s="13" t="n">
        <f aca="false">Assumptions!F32</f>
        <v>120</v>
      </c>
    </row>
    <row r="25" customFormat="false" ht="15" hidden="false" customHeight="false" outlineLevel="0" collapsed="false">
      <c r="A25" s="3" t="s">
        <v>140</v>
      </c>
      <c r="B25" s="3" t="s">
        <v>87</v>
      </c>
      <c r="C25" s="13" t="n">
        <f aca="false">Assumptions!C33</f>
        <v>-66</v>
      </c>
      <c r="D25" s="13" t="n">
        <f aca="false">Assumptions!D33</f>
        <v>-75</v>
      </c>
      <c r="E25" s="13" t="n">
        <f aca="false">Assumptions!E33</f>
        <v>-80</v>
      </c>
      <c r="F25" s="13" t="n">
        <f aca="false">Assumptions!F33</f>
        <v>-85</v>
      </c>
    </row>
    <row r="26" customFormat="false" ht="15" hidden="false" customHeight="false" outlineLevel="0" collapsed="false">
      <c r="A26" s="3" t="s">
        <v>48</v>
      </c>
      <c r="B26" s="3" t="s">
        <v>87</v>
      </c>
      <c r="C26" s="13" t="n">
        <f aca="false">Assumptions!C34</f>
        <v>-511</v>
      </c>
      <c r="D26" s="13" t="n">
        <f aca="false">Assumptions!D34</f>
        <v>-350</v>
      </c>
      <c r="E26" s="13" t="n">
        <f aca="false">Assumptions!E34</f>
        <v>0</v>
      </c>
      <c r="F26" s="13" t="n">
        <f aca="false">Assumptions!F34</f>
        <v>0</v>
      </c>
    </row>
    <row r="27" customFormat="false" ht="15" hidden="false" customHeight="false" outlineLevel="0" collapsed="false">
      <c r="A27" s="3" t="s">
        <v>90</v>
      </c>
      <c r="B27" s="3" t="s">
        <v>87</v>
      </c>
      <c r="C27" s="13" t="n">
        <f aca="false">Assumptions!C35</f>
        <v>11</v>
      </c>
      <c r="D27" s="13" t="n">
        <f aca="false">Assumptions!D35</f>
        <v>-50</v>
      </c>
      <c r="E27" s="13" t="n">
        <f aca="false">Assumptions!E35</f>
        <v>-50</v>
      </c>
      <c r="F27" s="13" t="n">
        <f aca="false">Assumptions!F35</f>
        <v>-50</v>
      </c>
    </row>
    <row r="28" customFormat="false" ht="15" hidden="false" customHeight="false" outlineLevel="0" collapsed="false">
      <c r="A28" s="5" t="s">
        <v>141</v>
      </c>
      <c r="B28" s="3" t="s">
        <v>87</v>
      </c>
      <c r="C28" s="33" t="n">
        <f aca="false">C13+C22+C24+C25+C26+C27</f>
        <v>6420.58</v>
      </c>
      <c r="D28" s="33" t="n">
        <f aca="false">D13+D22+D24+D25+D26+D27</f>
        <v>9490.665</v>
      </c>
      <c r="E28" s="33" t="n">
        <f aca="false">E13+E22+E24+E25+E26+E27</f>
        <v>10637</v>
      </c>
      <c r="F28" s="33" t="n">
        <f aca="false">F13+F22+F24+F25+F26+F27</f>
        <v>11386.5</v>
      </c>
    </row>
    <row r="29" customFormat="false" ht="15" hidden="false" customHeight="false" outlineLevel="0" collapsed="false">
      <c r="A29" s="3" t="s">
        <v>142</v>
      </c>
      <c r="B29" s="3" t="s">
        <v>95</v>
      </c>
      <c r="C29" s="34" t="s">
        <v>143</v>
      </c>
      <c r="D29" s="34" t="n">
        <f aca="false">D28/C28-1</f>
        <v>0.478163187749393</v>
      </c>
      <c r="E29" s="34" t="n">
        <f aca="false">E28/D28-1</f>
        <v>0.120785529781106</v>
      </c>
      <c r="F29" s="34" t="n">
        <f aca="false">F28/E28-1</f>
        <v>0.0704615963147504</v>
      </c>
    </row>
    <row r="30" customFormat="false" ht="15" hidden="false" customHeight="false" outlineLevel="0" collapsed="false">
      <c r="A30" s="9" t="s">
        <v>144</v>
      </c>
      <c r="B30" s="10"/>
      <c r="C30" s="10"/>
      <c r="D30" s="10"/>
      <c r="E30" s="10"/>
      <c r="F30" s="10"/>
    </row>
    <row r="31" customFormat="false" ht="15" hidden="false" customHeight="false" outlineLevel="0" collapsed="false">
      <c r="A31" s="3" t="s">
        <v>145</v>
      </c>
      <c r="B31" s="3" t="s">
        <v>87</v>
      </c>
      <c r="C31" s="13" t="n">
        <f aca="false">-Assumptions!C38</f>
        <v>-2700</v>
      </c>
      <c r="D31" s="13" t="n">
        <f aca="false">-Assumptions!C38</f>
        <v>-2700</v>
      </c>
      <c r="E31" s="13" t="n">
        <f aca="false">-Assumptions!C38</f>
        <v>-2700</v>
      </c>
      <c r="F31" s="13" t="n">
        <f aca="false">-Assumptions!C38</f>
        <v>-2700</v>
      </c>
    </row>
    <row r="32" customFormat="false" ht="15" hidden="false" customHeight="false" outlineLevel="0" collapsed="false">
      <c r="A32" s="3" t="s">
        <v>146</v>
      </c>
      <c r="B32" s="3" t="s">
        <v>87</v>
      </c>
      <c r="C32" s="29" t="n">
        <f aca="false">C28+C31</f>
        <v>3720.58</v>
      </c>
      <c r="D32" s="29" t="n">
        <f aca="false">D28+D31</f>
        <v>6790.665</v>
      </c>
      <c r="E32" s="29" t="n">
        <f aca="false">E28+E31</f>
        <v>7937</v>
      </c>
      <c r="F32" s="29" t="n">
        <f aca="false">F28+F31</f>
        <v>8686.5</v>
      </c>
    </row>
    <row r="33" customFormat="false" ht="15" hidden="false" customHeight="false" outlineLevel="0" collapsed="false">
      <c r="A33" s="3" t="s">
        <v>147</v>
      </c>
      <c r="B33" s="3" t="s">
        <v>87</v>
      </c>
      <c r="C33" s="13" t="n">
        <f aca="false">Assumptions!C46</f>
        <v>8571</v>
      </c>
      <c r="D33" s="13" t="n">
        <f aca="false">Assumptions!C46</f>
        <v>8571</v>
      </c>
      <c r="E33" s="29" t="n">
        <f aca="false">D44</f>
        <v>2840.667388</v>
      </c>
      <c r="F33" s="29" t="n">
        <f aca="false">E44</f>
        <v>-3655.94729562728</v>
      </c>
    </row>
    <row r="34" customFormat="false" ht="15" hidden="false" customHeight="false" outlineLevel="0" collapsed="false">
      <c r="A34" s="3" t="s">
        <v>148</v>
      </c>
      <c r="B34" s="3" t="s">
        <v>87</v>
      </c>
      <c r="C34" s="29" t="n">
        <f aca="false">-MAX(0,C33)*Assumptions!C39</f>
        <v>-428.55</v>
      </c>
      <c r="D34" s="29" t="n">
        <f aca="false">-MAX(0,D33)*Assumptions!C39</f>
        <v>-428.55</v>
      </c>
      <c r="E34" s="29" t="n">
        <f aca="false">-MAX(0,E33)*Assumptions!C39</f>
        <v>-142.0333694</v>
      </c>
      <c r="F34" s="29" t="n">
        <f aca="false">-MAX(0,F33)*Assumptions!C39</f>
        <v>-0</v>
      </c>
    </row>
    <row r="35" customFormat="false" ht="15" hidden="false" customHeight="false" outlineLevel="0" collapsed="false">
      <c r="A35" s="3" t="s">
        <v>149</v>
      </c>
      <c r="B35" s="3" t="s">
        <v>87</v>
      </c>
      <c r="C35" s="29" t="n">
        <f aca="false">-Assumptions!C40*MAX(0,C32+C34)</f>
        <v>-823.0075</v>
      </c>
      <c r="D35" s="29" t="n">
        <f aca="false">-Assumptions!C40*MAX(0,D32+D34)</f>
        <v>-1590.52875</v>
      </c>
      <c r="E35" s="29" t="n">
        <f aca="false">-Assumptions!C40*MAX(0,E32+E34)</f>
        <v>-1948.74165765</v>
      </c>
      <c r="F35" s="29" t="n">
        <f aca="false">-Assumptions!C40*MAX(0,F32+F34)</f>
        <v>-2171.625</v>
      </c>
    </row>
    <row r="36" customFormat="false" ht="15" hidden="false" customHeight="false" outlineLevel="0" collapsed="false">
      <c r="A36" s="3" t="s">
        <v>150</v>
      </c>
      <c r="B36" s="3" t="s">
        <v>87</v>
      </c>
      <c r="C36" s="29" t="n">
        <f aca="false">-Assumptions!C41*C28</f>
        <v>-834.6754</v>
      </c>
      <c r="D36" s="29" t="n">
        <f aca="false">-Assumptions!C41*D28</f>
        <v>-1233.78645</v>
      </c>
      <c r="E36" s="29" t="n">
        <f aca="false">-Assumptions!C41*E28</f>
        <v>-1382.81</v>
      </c>
      <c r="F36" s="29" t="n">
        <f aca="false">-Assumptions!C41*F28</f>
        <v>-1480.245</v>
      </c>
    </row>
    <row r="37" customFormat="false" ht="15" hidden="false" customHeight="false" outlineLevel="0" collapsed="false">
      <c r="A37" s="3" t="s">
        <v>151</v>
      </c>
      <c r="B37" s="3" t="s">
        <v>87</v>
      </c>
      <c r="C37" s="13" t="n">
        <f aca="false">Assumptions!C42</f>
        <v>-200</v>
      </c>
      <c r="D37" s="13" t="n">
        <f aca="false">Assumptions!C42</f>
        <v>-200</v>
      </c>
      <c r="E37" s="13" t="n">
        <f aca="false">Assumptions!C42</f>
        <v>-200</v>
      </c>
      <c r="F37" s="13" t="n">
        <f aca="false">Assumptions!C42</f>
        <v>-200</v>
      </c>
    </row>
    <row r="38" customFormat="false" ht="15" hidden="false" customHeight="false" outlineLevel="0" collapsed="false">
      <c r="A38" s="3" t="s">
        <v>152</v>
      </c>
      <c r="B38" s="3" t="s">
        <v>87</v>
      </c>
      <c r="C38" s="13" t="n">
        <f aca="false">-Assumptions!C37</f>
        <v>-3322</v>
      </c>
      <c r="D38" s="13" t="n">
        <f aca="false">-Assumptions!D37</f>
        <v>-3600</v>
      </c>
      <c r="E38" s="13" t="n">
        <f aca="false">-Assumptions!E37</f>
        <v>-3100</v>
      </c>
      <c r="F38" s="13" t="n">
        <f aca="false">-Assumptions!F37</f>
        <v>-2600</v>
      </c>
    </row>
    <row r="39" customFormat="false" ht="15" hidden="false" customHeight="false" outlineLevel="0" collapsed="false">
      <c r="A39" s="5" t="s">
        <v>153</v>
      </c>
      <c r="B39" s="3" t="s">
        <v>87</v>
      </c>
      <c r="C39" s="31" t="n">
        <f aca="false">C28+C34+C35+C36+C37+C38</f>
        <v>812.3471</v>
      </c>
      <c r="D39" s="31" t="n">
        <f aca="false">D28+D34+D35+D36+D37+D38</f>
        <v>2437.7998</v>
      </c>
      <c r="E39" s="31" t="n">
        <f aca="false">E28+E34+E35+E36+E37+E38</f>
        <v>3863.41497295</v>
      </c>
      <c r="F39" s="31" t="n">
        <f aca="false">F28+F34+F35+F36+F37+F38</f>
        <v>4934.63</v>
      </c>
    </row>
    <row r="40" customFormat="false" ht="15" hidden="false" customHeight="false" outlineLevel="0" collapsed="false">
      <c r="A40" s="3" t="s">
        <v>154</v>
      </c>
      <c r="B40" s="3" t="s">
        <v>87</v>
      </c>
      <c r="C40" s="29" t="n">
        <f aca="false">Assumptions!C43*MAX(0,C28+C31+C34)</f>
        <v>915.18434</v>
      </c>
      <c r="D40" s="29" t="n">
        <f aca="false">Assumptions!C43*MAX(0,D28+D31+D34)</f>
        <v>1768.66797</v>
      </c>
      <c r="E40" s="29" t="n">
        <f aca="false">Assumptions!C43*MAX(0,E28+E31+E34)</f>
        <v>2167.0007233068</v>
      </c>
      <c r="F40" s="29" t="n">
        <f aca="false">Assumptions!C43*MAX(0,F28+F31+F34)</f>
        <v>2414.847</v>
      </c>
    </row>
    <row r="41" customFormat="false" ht="15" hidden="false" customHeight="false" outlineLevel="0" collapsed="false">
      <c r="A41" s="3" t="s">
        <v>155</v>
      </c>
      <c r="B41" s="3" t="s">
        <v>156</v>
      </c>
      <c r="C41" s="32" t="n">
        <f aca="false">C40/Assumptions!C44*100</f>
        <v>81.2053540372671</v>
      </c>
      <c r="D41" s="32" t="n">
        <f aca="false">D40/Assumptions!C44*100</f>
        <v>156.935933451642</v>
      </c>
      <c r="E41" s="32" t="n">
        <f aca="false">E40/Assumptions!C44*100</f>
        <v>192.280454596877</v>
      </c>
      <c r="F41" s="32" t="n">
        <f aca="false">F40/Assumptions!C44*100</f>
        <v>214.272138420586</v>
      </c>
    </row>
    <row r="42" customFormat="false" ht="15" hidden="false" customHeight="false" outlineLevel="0" collapsed="false">
      <c r="A42" s="3" t="s">
        <v>157</v>
      </c>
      <c r="B42" s="3" t="s">
        <v>87</v>
      </c>
      <c r="C42" s="29" t="n">
        <f aca="false">-Assumptions!C45*C40</f>
        <v>-366.073736</v>
      </c>
      <c r="D42" s="29" t="n">
        <f aca="false">-Assumptions!C45*D40</f>
        <v>-707.467188</v>
      </c>
      <c r="E42" s="29" t="n">
        <f aca="false">-Assumptions!C45*E40</f>
        <v>-866.80028932272</v>
      </c>
      <c r="F42" s="29" t="n">
        <f aca="false">-Assumptions!C45*F40</f>
        <v>-965.9388</v>
      </c>
    </row>
    <row r="43" customFormat="false" ht="15" hidden="false" customHeight="false" outlineLevel="0" collapsed="false">
      <c r="A43" s="3" t="s">
        <v>158</v>
      </c>
      <c r="B43" s="3" t="s">
        <v>87</v>
      </c>
      <c r="C43" s="13" t="n">
        <f aca="false">Assumptions!C48+Assumptions!C49+Assumptions!C50</f>
        <v>0</v>
      </c>
      <c r="D43" s="13" t="n">
        <f aca="false">Assumptions!D48+Assumptions!D49+Assumptions!D50</f>
        <v>4000</v>
      </c>
      <c r="E43" s="13" t="n">
        <f aca="false">Assumptions!E48+Assumptions!E49+Assumptions!E50</f>
        <v>3500</v>
      </c>
      <c r="F43" s="13" t="n">
        <f aca="false">Assumptions!F48+Assumptions!F49+Assumptions!F50</f>
        <v>0</v>
      </c>
    </row>
    <row r="44" customFormat="false" ht="15" hidden="false" customHeight="false" outlineLevel="0" collapsed="false">
      <c r="A44" s="5" t="s">
        <v>159</v>
      </c>
      <c r="B44" s="3" t="s">
        <v>87</v>
      </c>
      <c r="C44" s="33" t="n">
        <f aca="false">Assumptions!C46</f>
        <v>8571</v>
      </c>
      <c r="D44" s="33" t="n">
        <f aca="false">D33-D39-D42-D43</f>
        <v>2840.667388</v>
      </c>
      <c r="E44" s="33" t="n">
        <f aca="false">E33-E39-E42-E43</f>
        <v>-3655.94729562728</v>
      </c>
      <c r="F44" s="33" t="n">
        <f aca="false">F33-F39-F42-F43</f>
        <v>-7624.63849562728</v>
      </c>
    </row>
    <row r="45" customFormat="false" ht="15" hidden="false" customHeight="false" outlineLevel="0" collapsed="false">
      <c r="A45" s="3" t="s">
        <v>160</v>
      </c>
      <c r="B45" s="3" t="s">
        <v>100</v>
      </c>
      <c r="C45" s="35" t="n">
        <f aca="false">C44/C28</f>
        <v>1.33492612816911</v>
      </c>
      <c r="D45" s="35" t="n">
        <f aca="false">D44/D28</f>
        <v>0.29931173295022</v>
      </c>
      <c r="E45" s="35" t="n">
        <f aca="false">E44/E28</f>
        <v>-0.343700977308196</v>
      </c>
      <c r="F45" s="35" t="n">
        <f aca="false">F44/F28</f>
        <v>-0.66962091034359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6" min="3" style="0" width="12"/>
  </cols>
  <sheetData>
    <row r="1" customFormat="false" ht="17.35" hidden="false" customHeight="false" outlineLevel="0" collapsed="false">
      <c r="A1" s="7" t="s">
        <v>162</v>
      </c>
    </row>
    <row r="2" customFormat="false" ht="15" hidden="false" customHeight="false" outlineLevel="0" collapsed="false">
      <c r="A2" s="8" t="s">
        <v>126</v>
      </c>
    </row>
    <row r="4" customFormat="false" ht="15" hidden="false" customHeight="false" outlineLevel="0" collapsed="false">
      <c r="A4" s="11" t="s">
        <v>127</v>
      </c>
      <c r="B4" s="11" t="s">
        <v>54</v>
      </c>
      <c r="C4" s="12" t="s">
        <v>25</v>
      </c>
      <c r="D4" s="12" t="s">
        <v>26</v>
      </c>
      <c r="E4" s="12" t="s">
        <v>27</v>
      </c>
      <c r="F4" s="12" t="s">
        <v>28</v>
      </c>
    </row>
    <row r="5" customFormat="false" ht="15" hidden="false" customHeight="false" outlineLevel="0" collapsed="false">
      <c r="A5" s="9" t="s">
        <v>128</v>
      </c>
      <c r="B5" s="10"/>
      <c r="C5" s="10"/>
      <c r="D5" s="10"/>
      <c r="E5" s="10"/>
      <c r="F5" s="10"/>
    </row>
    <row r="6" customFormat="false" ht="15" hidden="false" customHeight="false" outlineLevel="0" collapsed="false">
      <c r="A6" s="3" t="s">
        <v>129</v>
      </c>
      <c r="B6" s="3" t="s">
        <v>62</v>
      </c>
      <c r="C6" s="14" t="n">
        <f aca="false">Assumptions!C13</f>
        <v>695</v>
      </c>
      <c r="D6" s="14" t="n">
        <f aca="false">Assumptions!D13</f>
        <v>700</v>
      </c>
      <c r="E6" s="14" t="n">
        <f aca="false">Assumptions!E13</f>
        <v>750</v>
      </c>
      <c r="F6" s="14" t="n">
        <f aca="false">Assumptions!F13</f>
        <v>790</v>
      </c>
    </row>
    <row r="7" customFormat="false" ht="15" hidden="false" customHeight="false" outlineLevel="0" collapsed="false">
      <c r="A7" s="3" t="s">
        <v>130</v>
      </c>
      <c r="B7" s="3" t="s">
        <v>57</v>
      </c>
      <c r="C7" s="28" t="n">
        <f aca="false">Assumptions!C9</f>
        <v>9500</v>
      </c>
      <c r="D7" s="28" t="n">
        <f aca="false">Assumptions!D9</f>
        <v>10000</v>
      </c>
      <c r="E7" s="28" t="n">
        <f aca="false">Assumptions!E9</f>
        <v>8200</v>
      </c>
      <c r="F7" s="28" t="n">
        <f aca="false">Assumptions!F9</f>
        <v>8000</v>
      </c>
    </row>
    <row r="8" customFormat="false" ht="15" hidden="false" customHeight="false" outlineLevel="0" collapsed="false">
      <c r="A8" s="3" t="s">
        <v>131</v>
      </c>
      <c r="B8" s="3" t="s">
        <v>87</v>
      </c>
      <c r="C8" s="29" t="n">
        <f aca="false">C6*C7/1000</f>
        <v>6602.5</v>
      </c>
      <c r="D8" s="29" t="n">
        <f aca="false">D6*D7/1000</f>
        <v>7000</v>
      </c>
      <c r="E8" s="29" t="n">
        <f aca="false">E6*E7/1000</f>
        <v>6150</v>
      </c>
      <c r="F8" s="29" t="n">
        <f aca="false">F6*F7/1000</f>
        <v>6320</v>
      </c>
    </row>
    <row r="9" customFormat="false" ht="15" hidden="false" customHeight="false" outlineLevel="0" collapsed="false">
      <c r="A9" s="3" t="s">
        <v>132</v>
      </c>
      <c r="B9" s="3" t="s">
        <v>57</v>
      </c>
      <c r="C9" s="28" t="n">
        <f aca="false">Assumptions!C14</f>
        <v>3768</v>
      </c>
      <c r="D9" s="28" t="n">
        <f aca="false">Assumptions!D14</f>
        <v>4250</v>
      </c>
      <c r="E9" s="28" t="n">
        <f aca="false">Assumptions!E14</f>
        <v>4200</v>
      </c>
      <c r="F9" s="28" t="n">
        <f aca="false">Assumptions!F14</f>
        <v>4150</v>
      </c>
    </row>
    <row r="10" customFormat="false" ht="15" hidden="false" customHeight="false" outlineLevel="0" collapsed="false">
      <c r="A10" s="3" t="s">
        <v>133</v>
      </c>
      <c r="B10" s="3" t="s">
        <v>57</v>
      </c>
      <c r="C10" s="30" t="n">
        <f aca="false">MAX(0,(Assumptions!C27-Assumptions!C28)/10*Assumptions!C29)</f>
        <v>0</v>
      </c>
      <c r="D10" s="30" t="n">
        <f aca="false">MAX(0,(Assumptions!D27-Assumptions!C28)/10*Assumptions!C29)</f>
        <v>288</v>
      </c>
      <c r="E10" s="30" t="n">
        <f aca="false">MAX(0,(Assumptions!E27-Assumptions!C28)/10*Assumptions!C29)</f>
        <v>228</v>
      </c>
      <c r="F10" s="30" t="n">
        <f aca="false">MAX(0,(Assumptions!F27-Assumptions!C28)/10*Assumptions!C29)</f>
        <v>138</v>
      </c>
    </row>
    <row r="11" customFormat="false" ht="15" hidden="false" customHeight="false" outlineLevel="0" collapsed="false">
      <c r="A11" s="3" t="s">
        <v>134</v>
      </c>
      <c r="B11" s="3" t="s">
        <v>57</v>
      </c>
      <c r="C11" s="30" t="n">
        <f aca="false">C9+C10</f>
        <v>3768</v>
      </c>
      <c r="D11" s="30" t="n">
        <f aca="false">D9+D10</f>
        <v>4538</v>
      </c>
      <c r="E11" s="30" t="n">
        <f aca="false">E9+E10</f>
        <v>4428</v>
      </c>
      <c r="F11" s="30" t="n">
        <f aca="false">F9+F10</f>
        <v>4288</v>
      </c>
    </row>
    <row r="12" customFormat="false" ht="15" hidden="false" customHeight="false" outlineLevel="0" collapsed="false">
      <c r="A12" s="3" t="s">
        <v>135</v>
      </c>
      <c r="B12" s="3" t="s">
        <v>87</v>
      </c>
      <c r="C12" s="29" t="n">
        <f aca="false">C6*C11/1000</f>
        <v>2618.76</v>
      </c>
      <c r="D12" s="29" t="n">
        <f aca="false">D6*D11/1000</f>
        <v>3176.6</v>
      </c>
      <c r="E12" s="29" t="n">
        <f aca="false">E6*E11/1000</f>
        <v>3321</v>
      </c>
      <c r="F12" s="29" t="n">
        <f aca="false">F6*F11/1000</f>
        <v>3387.52</v>
      </c>
    </row>
    <row r="13" customFormat="false" ht="15" hidden="false" customHeight="false" outlineLevel="0" collapsed="false">
      <c r="A13" s="5" t="s">
        <v>136</v>
      </c>
      <c r="B13" s="3" t="s">
        <v>87</v>
      </c>
      <c r="C13" s="31" t="n">
        <f aca="false">C8-C12</f>
        <v>3983.74</v>
      </c>
      <c r="D13" s="31" t="n">
        <f aca="false">D8-D12</f>
        <v>3823.4</v>
      </c>
      <c r="E13" s="31" t="n">
        <f aca="false">E8-E12</f>
        <v>2829</v>
      </c>
      <c r="F13" s="31" t="n">
        <f aca="false">F8-F12</f>
        <v>2932.48</v>
      </c>
    </row>
    <row r="14" customFormat="false" ht="15" hidden="false" customHeight="false" outlineLevel="0" collapsed="false">
      <c r="A14" s="9" t="s">
        <v>137</v>
      </c>
      <c r="B14" s="10"/>
      <c r="C14" s="10"/>
      <c r="D14" s="10"/>
      <c r="E14" s="10"/>
      <c r="F14" s="10"/>
    </row>
    <row r="15" customFormat="false" ht="15" hidden="false" customHeight="false" outlineLevel="0" collapsed="false">
      <c r="A15" s="3" t="s">
        <v>129</v>
      </c>
      <c r="B15" s="3" t="s">
        <v>72</v>
      </c>
      <c r="C15" s="14" t="n">
        <f aca="false">Assumptions!C22</f>
        <v>60.8</v>
      </c>
      <c r="D15" s="14" t="n">
        <f aca="false">Assumptions!D22</f>
        <v>55</v>
      </c>
      <c r="E15" s="14" t="n">
        <f aca="false">Assumptions!E22</f>
        <v>59</v>
      </c>
      <c r="F15" s="14" t="n">
        <f aca="false">Assumptions!F22</f>
        <v>58</v>
      </c>
    </row>
    <row r="16" customFormat="false" ht="15" hidden="false" customHeight="false" outlineLevel="0" collapsed="false">
      <c r="A16" s="3" t="s">
        <v>130</v>
      </c>
      <c r="B16" s="3" t="s">
        <v>57</v>
      </c>
      <c r="C16" s="28" t="n">
        <f aca="false">Assumptions!C18</f>
        <v>92.7</v>
      </c>
      <c r="D16" s="28" t="n">
        <f aca="false">Assumptions!D18</f>
        <v>72</v>
      </c>
      <c r="E16" s="28" t="n">
        <f aca="false">Assumptions!E18</f>
        <v>60</v>
      </c>
      <c r="F16" s="28" t="n">
        <f aca="false">Assumptions!F18</f>
        <v>55</v>
      </c>
    </row>
    <row r="17" customFormat="false" ht="15" hidden="false" customHeight="false" outlineLevel="0" collapsed="false">
      <c r="A17" s="3" t="s">
        <v>131</v>
      </c>
      <c r="B17" s="3" t="s">
        <v>87</v>
      </c>
      <c r="C17" s="29" t="n">
        <f aca="false">C15*C16</f>
        <v>5636.16</v>
      </c>
      <c r="D17" s="29" t="n">
        <f aca="false">D15*D16</f>
        <v>3960</v>
      </c>
      <c r="E17" s="29" t="n">
        <f aca="false">E15*E16</f>
        <v>3540</v>
      </c>
      <c r="F17" s="29" t="n">
        <f aca="false">F15*F16</f>
        <v>3190</v>
      </c>
    </row>
    <row r="18" customFormat="false" ht="15" hidden="false" customHeight="false" outlineLevel="0" collapsed="false">
      <c r="A18" s="3" t="s">
        <v>132</v>
      </c>
      <c r="B18" s="3" t="s">
        <v>57</v>
      </c>
      <c r="C18" s="14" t="n">
        <f aca="false">Assumptions!C23</f>
        <v>45.4</v>
      </c>
      <c r="D18" s="14" t="n">
        <f aca="false">Assumptions!D23</f>
        <v>47</v>
      </c>
      <c r="E18" s="14" t="n">
        <f aca="false">Assumptions!E23</f>
        <v>47</v>
      </c>
      <c r="F18" s="14" t="n">
        <f aca="false">Assumptions!F23</f>
        <v>46</v>
      </c>
    </row>
    <row r="19" customFormat="false" ht="15" hidden="false" customHeight="false" outlineLevel="0" collapsed="false">
      <c r="A19" s="3" t="s">
        <v>133</v>
      </c>
      <c r="B19" s="3" t="s">
        <v>57</v>
      </c>
      <c r="C19" s="32" t="n">
        <f aca="false">MAX(0,(Assumptions!C27-Assumptions!C28)/10*Assumptions!C30)</f>
        <v>0</v>
      </c>
      <c r="D19" s="32" t="n">
        <f aca="false">MAX(0,(Assumptions!D27-Assumptions!C28)/10*Assumptions!C30)</f>
        <v>0.72</v>
      </c>
      <c r="E19" s="32" t="n">
        <f aca="false">MAX(0,(Assumptions!E27-Assumptions!C28)/10*Assumptions!C30)</f>
        <v>0.57</v>
      </c>
      <c r="F19" s="32" t="n">
        <f aca="false">MAX(0,(Assumptions!F27-Assumptions!C28)/10*Assumptions!C30)</f>
        <v>0.345</v>
      </c>
    </row>
    <row r="20" customFormat="false" ht="15" hidden="false" customHeight="false" outlineLevel="0" collapsed="false">
      <c r="A20" s="3" t="s">
        <v>134</v>
      </c>
      <c r="B20" s="3" t="s">
        <v>57</v>
      </c>
      <c r="C20" s="32" t="n">
        <f aca="false">C18+C19</f>
        <v>45.4</v>
      </c>
      <c r="D20" s="32" t="n">
        <f aca="false">D18+D19</f>
        <v>47.72</v>
      </c>
      <c r="E20" s="32" t="n">
        <f aca="false">E18+E19</f>
        <v>47.57</v>
      </c>
      <c r="F20" s="32" t="n">
        <f aca="false">F18+F19</f>
        <v>46.345</v>
      </c>
    </row>
    <row r="21" customFormat="false" ht="15" hidden="false" customHeight="false" outlineLevel="0" collapsed="false">
      <c r="A21" s="3" t="s">
        <v>135</v>
      </c>
      <c r="B21" s="3" t="s">
        <v>87</v>
      </c>
      <c r="C21" s="29" t="n">
        <f aca="false">C15*C20</f>
        <v>2760.32</v>
      </c>
      <c r="D21" s="29" t="n">
        <f aca="false">D15*D20</f>
        <v>2624.6</v>
      </c>
      <c r="E21" s="29" t="n">
        <f aca="false">E15*E20</f>
        <v>2806.63</v>
      </c>
      <c r="F21" s="29" t="n">
        <f aca="false">F15*F20</f>
        <v>2688.01</v>
      </c>
    </row>
    <row r="22" customFormat="false" ht="15" hidden="false" customHeight="false" outlineLevel="0" collapsed="false">
      <c r="A22" s="5" t="s">
        <v>138</v>
      </c>
      <c r="B22" s="3" t="s">
        <v>87</v>
      </c>
      <c r="C22" s="31" t="n">
        <f aca="false">C17-C21</f>
        <v>2875.84</v>
      </c>
      <c r="D22" s="31" t="n">
        <f aca="false">D17-D21</f>
        <v>1335.4</v>
      </c>
      <c r="E22" s="31" t="n">
        <f aca="false">E17-E21</f>
        <v>733.37</v>
      </c>
      <c r="F22" s="31" t="n">
        <f aca="false">F17-F21</f>
        <v>501.99</v>
      </c>
    </row>
    <row r="23" customFormat="false" ht="15" hidden="false" customHeight="false" outlineLevel="0" collapsed="false">
      <c r="A23" s="9" t="s">
        <v>139</v>
      </c>
      <c r="B23" s="10"/>
      <c r="C23" s="10"/>
      <c r="D23" s="10"/>
      <c r="E23" s="10"/>
      <c r="F23" s="10"/>
    </row>
    <row r="24" customFormat="false" ht="15" hidden="false" customHeight="false" outlineLevel="0" collapsed="false">
      <c r="A24" s="3" t="s">
        <v>46</v>
      </c>
      <c r="B24" s="3" t="s">
        <v>87</v>
      </c>
      <c r="C24" s="13" t="n">
        <f aca="false">Assumptions!C32</f>
        <v>127</v>
      </c>
      <c r="D24" s="13" t="n">
        <f aca="false">Assumptions!D32</f>
        <v>120</v>
      </c>
      <c r="E24" s="13" t="n">
        <f aca="false">Assumptions!E32</f>
        <v>120</v>
      </c>
      <c r="F24" s="13" t="n">
        <f aca="false">Assumptions!F32</f>
        <v>120</v>
      </c>
    </row>
    <row r="25" customFormat="false" ht="15" hidden="false" customHeight="false" outlineLevel="0" collapsed="false">
      <c r="A25" s="3" t="s">
        <v>140</v>
      </c>
      <c r="B25" s="3" t="s">
        <v>87</v>
      </c>
      <c r="C25" s="13" t="n">
        <f aca="false">Assumptions!C33</f>
        <v>-66</v>
      </c>
      <c r="D25" s="13" t="n">
        <f aca="false">Assumptions!D33</f>
        <v>-75</v>
      </c>
      <c r="E25" s="13" t="n">
        <f aca="false">Assumptions!E33</f>
        <v>-80</v>
      </c>
      <c r="F25" s="13" t="n">
        <f aca="false">Assumptions!F33</f>
        <v>-85</v>
      </c>
    </row>
    <row r="26" customFormat="false" ht="15" hidden="false" customHeight="false" outlineLevel="0" collapsed="false">
      <c r="A26" s="3" t="s">
        <v>48</v>
      </c>
      <c r="B26" s="3" t="s">
        <v>87</v>
      </c>
      <c r="C26" s="13" t="n">
        <f aca="false">Assumptions!C34</f>
        <v>-511</v>
      </c>
      <c r="D26" s="13" t="n">
        <f aca="false">Assumptions!D34</f>
        <v>-350</v>
      </c>
      <c r="E26" s="13" t="n">
        <f aca="false">Assumptions!E34</f>
        <v>0</v>
      </c>
      <c r="F26" s="13" t="n">
        <f aca="false">Assumptions!F34</f>
        <v>0</v>
      </c>
    </row>
    <row r="27" customFormat="false" ht="15" hidden="false" customHeight="false" outlineLevel="0" collapsed="false">
      <c r="A27" s="3" t="s">
        <v>90</v>
      </c>
      <c r="B27" s="3" t="s">
        <v>87</v>
      </c>
      <c r="C27" s="13" t="n">
        <f aca="false">Assumptions!C35</f>
        <v>11</v>
      </c>
      <c r="D27" s="13" t="n">
        <f aca="false">Assumptions!D35</f>
        <v>-50</v>
      </c>
      <c r="E27" s="13" t="n">
        <f aca="false">Assumptions!E35</f>
        <v>-50</v>
      </c>
      <c r="F27" s="13" t="n">
        <f aca="false">Assumptions!F35</f>
        <v>-50</v>
      </c>
    </row>
    <row r="28" customFormat="false" ht="15" hidden="false" customHeight="false" outlineLevel="0" collapsed="false">
      <c r="A28" s="5" t="s">
        <v>141</v>
      </c>
      <c r="B28" s="3" t="s">
        <v>87</v>
      </c>
      <c r="C28" s="33" t="n">
        <f aca="false">C13+C22+C24+C25+C26+C27</f>
        <v>6420.58</v>
      </c>
      <c r="D28" s="33" t="n">
        <f aca="false">D13+D22+D24+D25+D26+D27</f>
        <v>4803.8</v>
      </c>
      <c r="E28" s="33" t="n">
        <f aca="false">E13+E22+E24+E25+E26+E27</f>
        <v>3552.37</v>
      </c>
      <c r="F28" s="33" t="n">
        <f aca="false">F13+F22+F24+F25+F26+F27</f>
        <v>3419.47</v>
      </c>
    </row>
    <row r="29" customFormat="false" ht="15" hidden="false" customHeight="false" outlineLevel="0" collapsed="false">
      <c r="A29" s="3" t="s">
        <v>142</v>
      </c>
      <c r="B29" s="3" t="s">
        <v>95</v>
      </c>
      <c r="C29" s="34" t="s">
        <v>143</v>
      </c>
      <c r="D29" s="34" t="n">
        <f aca="false">D28/C28-1</f>
        <v>-0.251812141582225</v>
      </c>
      <c r="E29" s="34" t="n">
        <f aca="false">E28/D28-1</f>
        <v>-0.260508347558183</v>
      </c>
      <c r="F29" s="34" t="n">
        <f aca="false">F28/E28-1</f>
        <v>-0.0374116434943431</v>
      </c>
    </row>
    <row r="30" customFormat="false" ht="15" hidden="false" customHeight="false" outlineLevel="0" collapsed="false">
      <c r="A30" s="9" t="s">
        <v>144</v>
      </c>
      <c r="B30" s="10"/>
      <c r="C30" s="10"/>
      <c r="D30" s="10"/>
      <c r="E30" s="10"/>
      <c r="F30" s="10"/>
    </row>
    <row r="31" customFormat="false" ht="15" hidden="false" customHeight="false" outlineLevel="0" collapsed="false">
      <c r="A31" s="3" t="s">
        <v>145</v>
      </c>
      <c r="B31" s="3" t="s">
        <v>87</v>
      </c>
      <c r="C31" s="13" t="n">
        <f aca="false">-Assumptions!C38</f>
        <v>-2700</v>
      </c>
      <c r="D31" s="13" t="n">
        <f aca="false">-Assumptions!C38</f>
        <v>-2700</v>
      </c>
      <c r="E31" s="13" t="n">
        <f aca="false">-Assumptions!C38</f>
        <v>-2700</v>
      </c>
      <c r="F31" s="13" t="n">
        <f aca="false">-Assumptions!C38</f>
        <v>-2700</v>
      </c>
    </row>
    <row r="32" customFormat="false" ht="15" hidden="false" customHeight="false" outlineLevel="0" collapsed="false">
      <c r="A32" s="3" t="s">
        <v>146</v>
      </c>
      <c r="B32" s="3" t="s">
        <v>87</v>
      </c>
      <c r="C32" s="29" t="n">
        <f aca="false">C28+C31</f>
        <v>3720.58</v>
      </c>
      <c r="D32" s="29" t="n">
        <f aca="false">D28+D31</f>
        <v>2103.8</v>
      </c>
      <c r="E32" s="29" t="n">
        <f aca="false">E28+E31</f>
        <v>852.37</v>
      </c>
      <c r="F32" s="29" t="n">
        <f aca="false">F28+F31</f>
        <v>719.47</v>
      </c>
    </row>
    <row r="33" customFormat="false" ht="15" hidden="false" customHeight="false" outlineLevel="0" collapsed="false">
      <c r="A33" s="3" t="s">
        <v>147</v>
      </c>
      <c r="B33" s="3" t="s">
        <v>87</v>
      </c>
      <c r="C33" s="13" t="n">
        <f aca="false">Assumptions!C46</f>
        <v>8571</v>
      </c>
      <c r="D33" s="13" t="n">
        <f aca="false">Assumptions!C46</f>
        <v>8571</v>
      </c>
      <c r="E33" s="29" t="n">
        <f aca="false">D44</f>
        <v>5225.3443</v>
      </c>
      <c r="F33" s="29" t="n">
        <f aca="false">E44</f>
        <v>3909.555940942</v>
      </c>
    </row>
    <row r="34" customFormat="false" ht="15" hidden="false" customHeight="false" outlineLevel="0" collapsed="false">
      <c r="A34" s="3" t="s">
        <v>148</v>
      </c>
      <c r="B34" s="3" t="s">
        <v>87</v>
      </c>
      <c r="C34" s="29" t="n">
        <f aca="false">-MAX(0,C33)*Assumptions!C39</f>
        <v>-428.55</v>
      </c>
      <c r="D34" s="29" t="n">
        <f aca="false">-MAX(0,D33)*Assumptions!C39</f>
        <v>-428.55</v>
      </c>
      <c r="E34" s="29" t="n">
        <f aca="false">-MAX(0,E33)*Assumptions!C39</f>
        <v>-261.267215</v>
      </c>
      <c r="F34" s="29" t="n">
        <f aca="false">-MAX(0,F33)*Assumptions!C39</f>
        <v>-195.4777970471</v>
      </c>
    </row>
    <row r="35" customFormat="false" ht="15" hidden="false" customHeight="false" outlineLevel="0" collapsed="false">
      <c r="A35" s="3" t="s">
        <v>149</v>
      </c>
      <c r="B35" s="3" t="s">
        <v>87</v>
      </c>
      <c r="C35" s="29" t="n">
        <f aca="false">-Assumptions!C40*MAX(0,C32+C34)</f>
        <v>-823.0075</v>
      </c>
      <c r="D35" s="29" t="n">
        <f aca="false">-Assumptions!C40*MAX(0,D32+D34)</f>
        <v>-418.8125</v>
      </c>
      <c r="E35" s="29" t="n">
        <f aca="false">-Assumptions!C40*MAX(0,E32+E34)</f>
        <v>-147.77569625</v>
      </c>
      <c r="F35" s="29" t="n">
        <f aca="false">-Assumptions!C40*MAX(0,F32+F34)</f>
        <v>-130.998050738225</v>
      </c>
    </row>
    <row r="36" customFormat="false" ht="15" hidden="false" customHeight="false" outlineLevel="0" collapsed="false">
      <c r="A36" s="3" t="s">
        <v>150</v>
      </c>
      <c r="B36" s="3" t="s">
        <v>87</v>
      </c>
      <c r="C36" s="29" t="n">
        <f aca="false">-Assumptions!C41*C28</f>
        <v>-834.6754</v>
      </c>
      <c r="D36" s="29" t="n">
        <f aca="false">-Assumptions!C41*D28</f>
        <v>-624.494</v>
      </c>
      <c r="E36" s="29" t="n">
        <f aca="false">-Assumptions!C41*E28</f>
        <v>-461.8081</v>
      </c>
      <c r="F36" s="29" t="n">
        <f aca="false">-Assumptions!C41*F28</f>
        <v>-444.5311</v>
      </c>
    </row>
    <row r="37" customFormat="false" ht="15" hidden="false" customHeight="false" outlineLevel="0" collapsed="false">
      <c r="A37" s="3" t="s">
        <v>151</v>
      </c>
      <c r="B37" s="3" t="s">
        <v>87</v>
      </c>
      <c r="C37" s="13" t="n">
        <f aca="false">Assumptions!C42</f>
        <v>-200</v>
      </c>
      <c r="D37" s="13" t="n">
        <f aca="false">Assumptions!C42</f>
        <v>-200</v>
      </c>
      <c r="E37" s="13" t="n">
        <f aca="false">Assumptions!C42</f>
        <v>-200</v>
      </c>
      <c r="F37" s="13" t="n">
        <f aca="false">Assumptions!C42</f>
        <v>-200</v>
      </c>
    </row>
    <row r="38" customFormat="false" ht="15" hidden="false" customHeight="false" outlineLevel="0" collapsed="false">
      <c r="A38" s="3" t="s">
        <v>152</v>
      </c>
      <c r="B38" s="3" t="s">
        <v>87</v>
      </c>
      <c r="C38" s="13" t="n">
        <f aca="false">-Assumptions!C37</f>
        <v>-3322</v>
      </c>
      <c r="D38" s="13" t="n">
        <f aca="false">-Assumptions!D37</f>
        <v>-3600</v>
      </c>
      <c r="E38" s="13" t="n">
        <f aca="false">-Assumptions!E37</f>
        <v>-3100</v>
      </c>
      <c r="F38" s="13" t="n">
        <f aca="false">-Assumptions!F37</f>
        <v>-2600</v>
      </c>
    </row>
    <row r="39" customFormat="false" ht="15" hidden="false" customHeight="false" outlineLevel="0" collapsed="false">
      <c r="A39" s="5" t="s">
        <v>153</v>
      </c>
      <c r="B39" s="3" t="s">
        <v>87</v>
      </c>
      <c r="C39" s="31" t="n">
        <f aca="false">C28+C34+C35+C36+C37+C38</f>
        <v>812.3471</v>
      </c>
      <c r="D39" s="31" t="n">
        <f aca="false">D28+D34+D35+D36+D37+D38</f>
        <v>-468.0565</v>
      </c>
      <c r="E39" s="31" t="n">
        <f aca="false">E28+E34+E35+E36+E37+E38</f>
        <v>-618.48101125</v>
      </c>
      <c r="F39" s="31" t="n">
        <f aca="false">F28+F34+F35+F36+F37+F38</f>
        <v>-151.536947785325</v>
      </c>
    </row>
    <row r="40" customFormat="false" ht="15" hidden="false" customHeight="false" outlineLevel="0" collapsed="false">
      <c r="A40" s="3" t="s">
        <v>154</v>
      </c>
      <c r="B40" s="3" t="s">
        <v>87</v>
      </c>
      <c r="C40" s="29" t="n">
        <f aca="false">Assumptions!C43*MAX(0,C28+C31+C34)</f>
        <v>915.18434</v>
      </c>
      <c r="D40" s="29" t="n">
        <f aca="false">Assumptions!C43*MAX(0,D28+D31+D34)</f>
        <v>465.7195</v>
      </c>
      <c r="E40" s="29" t="n">
        <f aca="false">Assumptions!C43*MAX(0,E28+E31+E34)</f>
        <v>164.32657423</v>
      </c>
      <c r="F40" s="29" t="n">
        <f aca="false">Assumptions!C43*MAX(0,F28+F31+F34)</f>
        <v>145.669832420906</v>
      </c>
    </row>
    <row r="41" customFormat="false" ht="15" hidden="false" customHeight="false" outlineLevel="0" collapsed="false">
      <c r="A41" s="3" t="s">
        <v>155</v>
      </c>
      <c r="B41" s="3" t="s">
        <v>156</v>
      </c>
      <c r="C41" s="32" t="n">
        <f aca="false">C40/Assumptions!C44*100</f>
        <v>81.2053540372671</v>
      </c>
      <c r="D41" s="32" t="n">
        <f aca="false">D40/Assumptions!C44*100</f>
        <v>41.3238243123336</v>
      </c>
      <c r="E41" s="32" t="n">
        <f aca="false">E40/Assumptions!C44*100</f>
        <v>14.5808850248447</v>
      </c>
      <c r="F41" s="32" t="n">
        <f aca="false">F40/Assumptions!C44*100</f>
        <v>12.9254509690245</v>
      </c>
    </row>
    <row r="42" customFormat="false" ht="15" hidden="false" customHeight="false" outlineLevel="0" collapsed="false">
      <c r="A42" s="3" t="s">
        <v>157</v>
      </c>
      <c r="B42" s="3" t="s">
        <v>87</v>
      </c>
      <c r="C42" s="29" t="n">
        <f aca="false">-Assumptions!C45*C40</f>
        <v>-366.073736</v>
      </c>
      <c r="D42" s="29" t="n">
        <f aca="false">-Assumptions!C45*D40</f>
        <v>-186.2878</v>
      </c>
      <c r="E42" s="29" t="n">
        <f aca="false">-Assumptions!C45*E40</f>
        <v>-65.730629692</v>
      </c>
      <c r="F42" s="29" t="n">
        <f aca="false">-Assumptions!C45*F40</f>
        <v>-58.2679329683625</v>
      </c>
    </row>
    <row r="43" customFormat="false" ht="15" hidden="false" customHeight="false" outlineLevel="0" collapsed="false">
      <c r="A43" s="3" t="s">
        <v>158</v>
      </c>
      <c r="B43" s="3" t="s">
        <v>87</v>
      </c>
      <c r="C43" s="13" t="n">
        <f aca="false">Assumptions!C48+Assumptions!C49+Assumptions!C52</f>
        <v>0</v>
      </c>
      <c r="D43" s="13" t="n">
        <f aca="false">Assumptions!D48+Assumptions!D49+Assumptions!D52</f>
        <v>4000</v>
      </c>
      <c r="E43" s="13" t="n">
        <f aca="false">Assumptions!E48+Assumptions!E49+Assumptions!E52</f>
        <v>2000</v>
      </c>
      <c r="F43" s="13" t="n">
        <f aca="false">Assumptions!F48+Assumptions!F49+Assumptions!F52</f>
        <v>0</v>
      </c>
    </row>
    <row r="44" customFormat="false" ht="15" hidden="false" customHeight="false" outlineLevel="0" collapsed="false">
      <c r="A44" s="5" t="s">
        <v>159</v>
      </c>
      <c r="B44" s="3" t="s">
        <v>87</v>
      </c>
      <c r="C44" s="33" t="n">
        <f aca="false">Assumptions!C46</f>
        <v>8571</v>
      </c>
      <c r="D44" s="33" t="n">
        <f aca="false">D33-D39-D42-D43</f>
        <v>5225.3443</v>
      </c>
      <c r="E44" s="33" t="n">
        <f aca="false">E33-E39-E42-E43</f>
        <v>3909.555940942</v>
      </c>
      <c r="F44" s="33" t="n">
        <f aca="false">F33-F39-F42-F43</f>
        <v>4119.36082169569</v>
      </c>
    </row>
    <row r="45" customFormat="false" ht="15" hidden="false" customHeight="false" outlineLevel="0" collapsed="false">
      <c r="A45" s="3" t="s">
        <v>160</v>
      </c>
      <c r="B45" s="3" t="s">
        <v>100</v>
      </c>
      <c r="C45" s="35" t="n">
        <f aca="false">C44/C28</f>
        <v>1.33492612816911</v>
      </c>
      <c r="D45" s="35" t="n">
        <f aca="false">D44/D28</f>
        <v>1.08775225862859</v>
      </c>
      <c r="E45" s="35" t="n">
        <f aca="false">E44/E28</f>
        <v>1.10054863117918</v>
      </c>
      <c r="F45" s="35" t="n">
        <f aca="false">F44/F28</f>
        <v>1.20467815822209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0"/>
  </cols>
  <sheetData>
    <row r="1" customFormat="false" ht="17.35" hidden="false" customHeight="false" outlineLevel="0" collapsed="false">
      <c r="A1" s="7" t="s">
        <v>163</v>
      </c>
    </row>
    <row r="2" customFormat="false" ht="15" hidden="false" customHeight="false" outlineLevel="0" collapsed="false">
      <c r="A2" s="8" t="s">
        <v>164</v>
      </c>
    </row>
    <row r="4" customFormat="false" ht="15" hidden="false" customHeight="false" outlineLevel="0" collapsed="false">
      <c r="A4" s="11" t="s">
        <v>165</v>
      </c>
      <c r="B4" s="11" t="s">
        <v>166</v>
      </c>
      <c r="C4" s="11" t="s">
        <v>167</v>
      </c>
    </row>
    <row r="5" customFormat="false" ht="15" hidden="false" customHeight="false" outlineLevel="0" collapsed="false">
      <c r="A5" s="22" t="n">
        <v>7000</v>
      </c>
      <c r="B5" s="29" t="n">
        <f aca="false">Base!D6*(A5-Base!D11)/1000</f>
        <v>1928.66</v>
      </c>
      <c r="C5" s="29" t="n">
        <f aca="false">B5+(Base!D22+Base!D24+Base!D25+Base!D26+Base!D27)</f>
        <v>3724.27</v>
      </c>
    </row>
    <row r="6" customFormat="false" ht="15" hidden="false" customHeight="false" outlineLevel="0" collapsed="false">
      <c r="A6" s="22" t="n">
        <v>8000</v>
      </c>
      <c r="B6" s="29" t="n">
        <f aca="false">Base!D6*(A6-Base!D11)/1000</f>
        <v>2658.66</v>
      </c>
      <c r="C6" s="29" t="n">
        <f aca="false">B6+(Base!D22+Base!D24+Base!D25+Base!D26+Base!D27)</f>
        <v>4454.27</v>
      </c>
    </row>
    <row r="7" customFormat="false" ht="15" hidden="false" customHeight="false" outlineLevel="0" collapsed="false">
      <c r="A7" s="22" t="n">
        <v>9000</v>
      </c>
      <c r="B7" s="29" t="n">
        <f aca="false">Base!D6*(A7-Base!D11)/1000</f>
        <v>3388.66</v>
      </c>
      <c r="C7" s="29" t="n">
        <f aca="false">B7+(Base!D22+Base!D24+Base!D25+Base!D26+Base!D27)</f>
        <v>5184.27</v>
      </c>
    </row>
    <row r="8" customFormat="false" ht="15" hidden="false" customHeight="false" outlineLevel="0" collapsed="false">
      <c r="A8" s="22" t="n">
        <v>10000</v>
      </c>
      <c r="B8" s="29" t="n">
        <f aca="false">Base!D6*(A8-Base!D11)/1000</f>
        <v>4118.66</v>
      </c>
      <c r="C8" s="29" t="n">
        <f aca="false">B8+(Base!D22+Base!D24+Base!D25+Base!D26+Base!D27)</f>
        <v>5914.27</v>
      </c>
    </row>
    <row r="9" customFormat="false" ht="15" hidden="false" customHeight="false" outlineLevel="0" collapsed="false">
      <c r="A9" s="22" t="n">
        <v>11000</v>
      </c>
      <c r="B9" s="29" t="n">
        <f aca="false">Base!D6*(A9-Base!D11)/1000</f>
        <v>4848.66</v>
      </c>
      <c r="C9" s="29" t="n">
        <f aca="false">B9+(Base!D22+Base!D24+Base!D25+Base!D26+Base!D27)</f>
        <v>6644.27</v>
      </c>
    </row>
    <row r="10" customFormat="false" ht="15" hidden="false" customHeight="false" outlineLevel="0" collapsed="false">
      <c r="A10" s="22" t="n">
        <v>12000</v>
      </c>
      <c r="B10" s="29" t="n">
        <f aca="false">Base!D6*(A10-Base!D11)/1000</f>
        <v>5578.66</v>
      </c>
      <c r="C10" s="29" t="n">
        <f aca="false">B10+(Base!D22+Base!D24+Base!D25+Base!D26+Base!D27)</f>
        <v>7374.27</v>
      </c>
    </row>
    <row r="11" customFormat="false" ht="15" hidden="false" customHeight="false" outlineLevel="0" collapsed="false">
      <c r="A11" s="22" t="n">
        <v>13000</v>
      </c>
      <c r="B11" s="29" t="n">
        <f aca="false">Base!D6*(A11-Base!D11)/1000</f>
        <v>6308.66</v>
      </c>
      <c r="C11" s="29" t="n">
        <f aca="false">B11+(Base!D22+Base!D24+Base!D25+Base!D26+Base!D27)</f>
        <v>8104.27</v>
      </c>
    </row>
    <row r="12" customFormat="false" ht="15" hidden="false" customHeight="false" outlineLevel="0" collapsed="false">
      <c r="A12" s="22" t="n">
        <v>14000</v>
      </c>
      <c r="B12" s="29" t="n">
        <f aca="false">Base!D6*(A12-Base!D11)/1000</f>
        <v>7038.66</v>
      </c>
      <c r="C12" s="29" t="n">
        <f aca="false">B12+(Base!D22+Base!D24+Base!D25+Base!D26+Base!D27)</f>
        <v>8834.27</v>
      </c>
    </row>
    <row r="13" customFormat="false" ht="15" hidden="false" customHeight="false" outlineLevel="0" collapsed="false">
      <c r="A13" s="22" t="n">
        <v>15000</v>
      </c>
      <c r="B13" s="29" t="n">
        <f aca="false">Base!D6*(A13-Base!D11)/1000</f>
        <v>7768.66</v>
      </c>
      <c r="C13" s="29" t="n">
        <f aca="false">B13+(Base!D22+Base!D24+Base!D25+Base!D26+Base!D27)</f>
        <v>9564.27</v>
      </c>
    </row>
    <row r="15" customFormat="false" ht="15" hidden="false" customHeight="false" outlineLevel="0" collapsed="false">
      <c r="A15" s="11" t="s">
        <v>168</v>
      </c>
      <c r="B15" s="11" t="s">
        <v>169</v>
      </c>
      <c r="C15" s="11" t="s">
        <v>167</v>
      </c>
    </row>
    <row r="16" customFormat="false" ht="15" hidden="false" customHeight="false" outlineLevel="0" collapsed="false">
      <c r="A16" s="22" t="n">
        <v>50</v>
      </c>
      <c r="B16" s="29" t="n">
        <f aca="false">Base!D15*(A16-Base!D20)</f>
        <v>155.61</v>
      </c>
      <c r="C16" s="29" t="n">
        <f aca="false">B16+(Base!D13+Base!D24+Base!D25+Base!D26+Base!D27)</f>
        <v>5014.27</v>
      </c>
    </row>
    <row r="17" customFormat="false" ht="15" hidden="false" customHeight="false" outlineLevel="0" collapsed="false">
      <c r="A17" s="22" t="n">
        <v>60</v>
      </c>
      <c r="B17" s="29" t="n">
        <f aca="false">Base!D15*(A17-Base!D20)</f>
        <v>725.61</v>
      </c>
      <c r="C17" s="29" t="n">
        <f aca="false">B17+(Base!D13+Base!D24+Base!D25+Base!D26+Base!D27)</f>
        <v>5584.27</v>
      </c>
    </row>
    <row r="18" customFormat="false" ht="15" hidden="false" customHeight="false" outlineLevel="0" collapsed="false">
      <c r="A18" s="22" t="n">
        <v>70</v>
      </c>
      <c r="B18" s="29" t="n">
        <f aca="false">Base!D15*(A18-Base!D20)</f>
        <v>1295.61</v>
      </c>
      <c r="C18" s="29" t="n">
        <f aca="false">B18+(Base!D13+Base!D24+Base!D25+Base!D26+Base!D27)</f>
        <v>6154.27</v>
      </c>
    </row>
    <row r="19" customFormat="false" ht="15" hidden="false" customHeight="false" outlineLevel="0" collapsed="false">
      <c r="A19" s="22" t="n">
        <v>80</v>
      </c>
      <c r="B19" s="29" t="n">
        <f aca="false">Base!D15*(A19-Base!D20)</f>
        <v>1865.61</v>
      </c>
      <c r="C19" s="29" t="n">
        <f aca="false">B19+(Base!D13+Base!D24+Base!D25+Base!D26+Base!D27)</f>
        <v>6724.27</v>
      </c>
    </row>
    <row r="20" customFormat="false" ht="15" hidden="false" customHeight="false" outlineLevel="0" collapsed="false">
      <c r="A20" s="22" t="n">
        <v>90</v>
      </c>
      <c r="B20" s="29" t="n">
        <f aca="false">Base!D15*(A20-Base!D20)</f>
        <v>2435.61</v>
      </c>
      <c r="C20" s="29" t="n">
        <f aca="false">B20+(Base!D13+Base!D24+Base!D25+Base!D26+Base!D27)</f>
        <v>7294.27</v>
      </c>
    </row>
    <row r="21" customFormat="false" ht="15" hidden="false" customHeight="false" outlineLevel="0" collapsed="false">
      <c r="A21" s="22" t="n">
        <v>100</v>
      </c>
      <c r="B21" s="29" t="n">
        <f aca="false">Base!D15*(A21-Base!D20)</f>
        <v>3005.61</v>
      </c>
      <c r="C21" s="29" t="n">
        <f aca="false">B21+(Base!D13+Base!D24+Base!D25+Base!D26+Base!D27)</f>
        <v>7864.27</v>
      </c>
    </row>
    <row r="22" customFormat="false" ht="15" hidden="false" customHeight="false" outlineLevel="0" collapsed="false">
      <c r="A22" s="22" t="n">
        <v>110</v>
      </c>
      <c r="B22" s="29" t="n">
        <f aca="false">Base!D15*(A22-Base!D20)</f>
        <v>3575.61</v>
      </c>
      <c r="C22" s="29" t="n">
        <f aca="false">B22+(Base!D13+Base!D24+Base!D25+Base!D26+Base!D27)</f>
        <v>8434.27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7" t="s">
        <v>170</v>
      </c>
    </row>
    <row r="2" customFormat="false" ht="15" hidden="false" customHeight="false" outlineLevel="0" collapsed="false">
      <c r="A2" s="8" t="s">
        <v>171</v>
      </c>
    </row>
    <row r="4" customFormat="false" ht="15" hidden="false" customHeight="false" outlineLevel="0" collapsed="false">
      <c r="A4" s="9" t="s">
        <v>172</v>
      </c>
      <c r="B4" s="10"/>
    </row>
    <row r="5" customFormat="false" ht="15" hidden="false" customHeight="false" outlineLevel="0" collapsed="false">
      <c r="A5" s="3" t="s">
        <v>173</v>
      </c>
      <c r="B5" s="36" t="n">
        <f aca="false">Assumptions!C58</f>
        <v>1.3301</v>
      </c>
    </row>
    <row r="6" customFormat="false" ht="15" hidden="false" customHeight="false" outlineLevel="0" collapsed="false">
      <c r="A6" s="3" t="s">
        <v>118</v>
      </c>
      <c r="B6" s="37" t="n">
        <f aca="false">Assumptions!C59</f>
        <v>0.624</v>
      </c>
    </row>
    <row r="7" customFormat="false" ht="15" hidden="false" customHeight="false" outlineLevel="0" collapsed="false">
      <c r="A7" s="3" t="s">
        <v>119</v>
      </c>
      <c r="B7" s="37" t="n">
        <f aca="false">Assumptions!C60</f>
        <v>0.376</v>
      </c>
    </row>
    <row r="8" customFormat="false" ht="15" hidden="false" customHeight="false" outlineLevel="0" collapsed="false">
      <c r="A8" s="3" t="s">
        <v>174</v>
      </c>
      <c r="B8" s="13" t="n">
        <f aca="false">Assumptions!C61</f>
        <v>4500</v>
      </c>
    </row>
    <row r="9" customFormat="false" ht="15" hidden="false" customHeight="false" outlineLevel="0" collapsed="false">
      <c r="A9" s="3" t="s">
        <v>175</v>
      </c>
      <c r="B9" s="13" t="n">
        <f aca="false">Assumptions!C62</f>
        <v>800</v>
      </c>
    </row>
    <row r="10" customFormat="false" ht="15" hidden="false" customHeight="false" outlineLevel="0" collapsed="false">
      <c r="A10" s="3" t="s">
        <v>176</v>
      </c>
      <c r="B10" s="13" t="n">
        <f aca="false">Assumptions!C63</f>
        <v>700</v>
      </c>
    </row>
    <row r="11" customFormat="false" ht="15" hidden="false" customHeight="false" outlineLevel="0" collapsed="false">
      <c r="A11" s="9" t="s">
        <v>177</v>
      </c>
      <c r="B11" s="10"/>
      <c r="C11" s="10"/>
      <c r="D11" s="10"/>
    </row>
    <row r="12" customFormat="false" ht="15" hidden="false" customHeight="false" outlineLevel="0" collapsed="false">
      <c r="A12" s="38"/>
      <c r="B12" s="12" t="s">
        <v>27</v>
      </c>
      <c r="C12" s="12" t="s">
        <v>28</v>
      </c>
    </row>
    <row r="13" customFormat="false" ht="15" hidden="false" customHeight="false" outlineLevel="0" collapsed="false">
      <c r="A13" s="3" t="s">
        <v>178</v>
      </c>
      <c r="B13" s="13" t="n">
        <f aca="false">Base!E28</f>
        <v>6360.24</v>
      </c>
      <c r="C13" s="13" t="n">
        <f aca="false">Base!F28</f>
        <v>6734.54</v>
      </c>
    </row>
    <row r="14" customFormat="false" ht="15" hidden="false" customHeight="false" outlineLevel="0" collapsed="false">
      <c r="A14" s="3" t="s">
        <v>179</v>
      </c>
      <c r="B14" s="13" t="n">
        <f aca="false">Assumptions!C64</f>
        <v>2150</v>
      </c>
      <c r="C14" s="29" t="n">
        <f aca="false">Assumptions!C64*1.05</f>
        <v>2257.5</v>
      </c>
    </row>
    <row r="15" customFormat="false" ht="15" hidden="false" customHeight="false" outlineLevel="0" collapsed="false">
      <c r="A15" s="3" t="s">
        <v>180</v>
      </c>
      <c r="B15" s="29" t="n">
        <f aca="false">Assumptions!C62*0.2</f>
        <v>160</v>
      </c>
      <c r="C15" s="29" t="n">
        <f aca="false">Assumptions!C62*0.5</f>
        <v>400</v>
      </c>
    </row>
    <row r="16" customFormat="false" ht="15" hidden="false" customHeight="false" outlineLevel="0" collapsed="false">
      <c r="A16" s="5" t="s">
        <v>181</v>
      </c>
      <c r="B16" s="33" t="n">
        <f aca="false">B13+B14+B15</f>
        <v>8670.24</v>
      </c>
      <c r="C16" s="33" t="n">
        <f aca="false">C13+C14+C15</f>
        <v>9392.04</v>
      </c>
    </row>
    <row r="18" customFormat="false" ht="15" hidden="false" customHeight="false" outlineLevel="0" collapsed="false">
      <c r="A18" s="8" t="s">
        <v>182</v>
      </c>
    </row>
    <row r="19" customFormat="false" ht="15" hidden="false" customHeight="false" outlineLevel="0" collapsed="false">
      <c r="A19" s="8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7" t="s">
        <v>18</v>
      </c>
    </row>
    <row r="2" customFormat="false" ht="15" hidden="false" customHeight="false" outlineLevel="0" collapsed="false">
      <c r="A2" s="11" t="s">
        <v>184</v>
      </c>
      <c r="B2" s="11" t="s">
        <v>185</v>
      </c>
    </row>
    <row r="3" customFormat="false" ht="15" hidden="false" customHeight="false" outlineLevel="0" collapsed="false">
      <c r="A3" s="3" t="s">
        <v>186</v>
      </c>
      <c r="B3" s="39" t="s">
        <v>187</v>
      </c>
    </row>
    <row r="4" customFormat="false" ht="15" hidden="false" customHeight="false" outlineLevel="0" collapsed="false">
      <c r="A4" s="3" t="s">
        <v>188</v>
      </c>
      <c r="B4" s="39" t="s">
        <v>189</v>
      </c>
    </row>
    <row r="5" customFormat="false" ht="15" hidden="false" customHeight="false" outlineLevel="0" collapsed="false">
      <c r="A5" s="3" t="s">
        <v>190</v>
      </c>
      <c r="B5" s="39" t="s">
        <v>191</v>
      </c>
    </row>
    <row r="6" customFormat="false" ht="15" hidden="false" customHeight="false" outlineLevel="0" collapsed="false">
      <c r="A6" s="3" t="s">
        <v>192</v>
      </c>
      <c r="B6" s="39" t="s">
        <v>193</v>
      </c>
    </row>
    <row r="7" customFormat="false" ht="15" hidden="false" customHeight="false" outlineLevel="0" collapsed="false">
      <c r="A7" s="3" t="s">
        <v>194</v>
      </c>
      <c r="B7" s="39" t="s">
        <v>195</v>
      </c>
    </row>
    <row r="8" customFormat="false" ht="15" hidden="false" customHeight="false" outlineLevel="0" collapsed="false">
      <c r="A8" s="3" t="s">
        <v>196</v>
      </c>
      <c r="B8" s="39" t="s">
        <v>197</v>
      </c>
    </row>
    <row r="9" customFormat="false" ht="15" hidden="false" customHeight="false" outlineLevel="0" collapsed="false">
      <c r="A9" s="3" t="s">
        <v>198</v>
      </c>
      <c r="B9" s="39" t="s">
        <v>199</v>
      </c>
    </row>
    <row r="10" customFormat="false" ht="15" hidden="false" customHeight="false" outlineLevel="0" collapsed="false">
      <c r="A10" s="3" t="s">
        <v>200</v>
      </c>
      <c r="B10" s="39" t="s">
        <v>201</v>
      </c>
    </row>
    <row r="11" customFormat="false" ht="15" hidden="false" customHeight="false" outlineLevel="0" collapsed="false">
      <c r="A11" s="3" t="s">
        <v>202</v>
      </c>
      <c r="B11" s="39" t="s">
        <v>203</v>
      </c>
    </row>
    <row r="12" customFormat="false" ht="15" hidden="false" customHeight="false" outlineLevel="0" collapsed="false">
      <c r="A12" s="3" t="s">
        <v>204</v>
      </c>
      <c r="B12" s="39" t="s">
        <v>205</v>
      </c>
    </row>
    <row r="13" customFormat="false" ht="15" hidden="false" customHeight="false" outlineLevel="0" collapsed="false">
      <c r="A13" s="3" t="s">
        <v>206</v>
      </c>
      <c r="B13" s="39" t="s">
        <v>207</v>
      </c>
    </row>
    <row r="14" customFormat="false" ht="15" hidden="false" customHeight="false" outlineLevel="0" collapsed="false">
      <c r="A14" s="3" t="s">
        <v>208</v>
      </c>
      <c r="B14" s="39" t="s">
        <v>209</v>
      </c>
    </row>
    <row r="15" customFormat="false" ht="15" hidden="false" customHeight="false" outlineLevel="0" collapsed="false">
      <c r="A15" s="3" t="s">
        <v>210</v>
      </c>
      <c r="B15" s="39" t="s">
        <v>211</v>
      </c>
    </row>
    <row r="16" customFormat="false" ht="15" hidden="false" customHeight="false" outlineLevel="0" collapsed="false">
      <c r="A16" s="3" t="s">
        <v>212</v>
      </c>
      <c r="B16" s="39" t="s">
        <v>213</v>
      </c>
    </row>
    <row r="17" customFormat="false" ht="15" hidden="false" customHeight="false" outlineLevel="0" collapsed="false">
      <c r="A17" s="3" t="s">
        <v>214</v>
      </c>
      <c r="B17" s="39" t="s">
        <v>215</v>
      </c>
    </row>
    <row r="18" customFormat="false" ht="15" hidden="false" customHeight="false" outlineLevel="0" collapsed="false">
      <c r="A18" s="3" t="s">
        <v>216</v>
      </c>
      <c r="B18" s="39" t="s">
        <v>217</v>
      </c>
    </row>
    <row r="19" customFormat="false" ht="15" hidden="false" customHeight="false" outlineLevel="0" collapsed="false">
      <c r="A19" s="3" t="s">
        <v>218</v>
      </c>
      <c r="B19" s="39" t="s">
        <v>219</v>
      </c>
    </row>
    <row r="20" customFormat="false" ht="15" hidden="false" customHeight="false" outlineLevel="0" collapsed="false">
      <c r="A20" s="3" t="s">
        <v>220</v>
      </c>
      <c r="B20" s="39" t="s">
        <v>221</v>
      </c>
    </row>
    <row r="21" customFormat="false" ht="15" hidden="false" customHeight="false" outlineLevel="0" collapsed="false">
      <c r="A21" s="3" t="s">
        <v>222</v>
      </c>
      <c r="B21" s="39" t="s">
        <v>223</v>
      </c>
    </row>
  </sheetData>
  <hyperlinks>
    <hyperlink ref="B3" r:id="rId1" display="https://www.investegate.co.uk/announcement/rns/anglo-american--aal/anglo-american-full-year-2025-results/9439268"/>
    <hyperlink ref="B4" r:id="rId2" display="https://www.angloamerican.com/~/media/Files/A/Anglo-American-Group-v9/PLC/media/press-release/releases/2026pr/anglo-american-preliminary-results-for-the-year-ended-31-december-2025.pdf"/>
    <hyperlink ref="B5" r:id="rId3" display="https://www.angloamerican.com/media/press-releases/2026/05-02-2026"/>
    <hyperlink ref="B6" r:id="rId4" display="https://www.miningweekly.com/article/anglo-lowers-2026-copper-production-guidance-following-lower-2025-output-2026-02-05"/>
    <hyperlink ref="B7" r:id="rId5" display="https://www.angloamerican.com/media/press-releases/2025/09-09-2025"/>
    <hyperlink ref="B8" r:id="rId6" display="https://www.sec.gov/Archives/edgar/data/886986/000095014225002410/eh250676348_ex9901.htm"/>
    <hyperlink ref="B9" r:id="rId7" display="https://www.mining.com/web/anglo-american-expects-final-approval-for-teck-merger-around-q3/"/>
    <hyperlink ref="B10" r:id="rId8" display="https://www.reuters.com/business/energy/anglo-american-sell-australian-coal-mines-up-388-billion-2026-05-18/"/>
    <hyperlink ref="B11" r:id="rId9" display="https://www.mining.com/anglo-american-draws-botswana-into-5b-de-beers-sale-talks/"/>
    <hyperlink ref="B12" r:id="rId10" display="https://www.worldbank.org/en/news/press-release/2026/04/28/commodity-markets-outlook-april-2026-press-release"/>
    <hyperlink ref="B13" r:id="rId11" display="https://blogs.worldbank.org/en/opendata/metal-prices-poised-to-strengthen-further"/>
    <hyperlink ref="B14" r:id="rId12" display="https://blogs.worldbank.org/en/opendata/fertilizer-prices-surge-as-strait-of-hormuz-disruptions-tighten-"/>
    <hyperlink ref="B15" r:id="rId13" display="https://www.goldmansachs.com/insights/articles/copper-prices-forecast-to-decline-from-record-highs-in-2026"/>
    <hyperlink ref="B16" r:id="rId14" display="https://gmk.center/en/news/fitch-ratings-has-raised-its-price-outlook-for-iron-ore-and-coking-coal-for-2026/"/>
    <hyperlink ref="B17" r:id="rId15" display="https://en.wikipedia.org/wiki/2026_Strait_of_Hormuz_crisis"/>
    <hyperlink ref="B18" r:id="rId16" display="https://www.cnbc.com/2026/05/29/oil-prices-iran-ceasefire-us-trump-strait-hormuz-energy-costs.html"/>
    <hyperlink ref="B19" r:id="rId17" display="https://www.mining.com/web/rio-tintos-first-quarter-iron-ore-sales-rise-2/"/>
    <hyperlink ref="B20" r:id="rId18" display="https://www.angloamerican.com/media/press-releases/2026/28-04-2026"/>
    <hyperlink ref="B21" r:id="rId19" display="https://www.lse.co.uk/SharePrice.html?shareprice=AAL&amp;share=Anglo-america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2026-06-14T13:24:59Z</dcterms:created>
  <dc:creator>openpyxl</dc:creator>
  <dc:description/>
  <dc:language>en-US</dc:language>
  <cp:lastModifiedBy/>
  <dcterms:modified xsi:type="dcterms:W3CDTF">2026-06-14T13:25:01Z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