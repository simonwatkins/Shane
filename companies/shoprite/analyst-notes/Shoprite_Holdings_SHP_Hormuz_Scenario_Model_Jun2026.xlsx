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2.xml" ContentType="application/vnd.ms-office.chart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style1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FY2025 Actuals" sheetId="2" state="visible" r:id="rId4"/>
    <sheet name="Assumptions" sheetId="3" state="visible" r:id="rId5"/>
    <sheet name="Scenario Model" sheetId="4" state="visible" r:id="rId6"/>
    <sheet name="Macro Deck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Research</author>
  </authors>
  <commentList>
    <comment ref="A5" authorId="0">
      <text>
        <r>
          <rPr>
            <sz val="10"/>
            <rFont val="Arial"/>
            <family val="2"/>
          </rPr>
          <t xml:space="preserve">FY25A: internal selling-price inflation ~2.3% (SH1). B: fuel/transport pass-through lifts it ~1pp+.</t>
        </r>
      </text>
    </comment>
    <comment ref="A6" authorId="0">
      <text>
        <r>
          <rPr>
            <sz val="10"/>
            <rFont val="Arial"/>
            <family val="2"/>
          </rPr>
          <t xml:space="preserve">Balancing item so FY25A growth ties to reported +8.9% on sale of merchandise. A: volume recovery; B: squeezed.</t>
        </r>
      </text>
    </comment>
    <comment ref="A7" authorId="0">
      <text>
        <r>
          <rPr>
            <sz val="10"/>
            <rFont val="Arial"/>
            <family val="2"/>
          </rPr>
          <t xml:space="preserve">FY25A 24.3% (SH1). B: price investment to defend value share compresses margin.</t>
        </r>
      </text>
    </comment>
    <comment ref="A8" authorId="0">
      <text>
        <r>
          <rPr>
            <sz val="10"/>
            <rFont val="Arial"/>
            <family val="2"/>
          </rPr>
          <t xml:space="preserve">FY25A 5.9% (SH1). A: relief, can ease price investment; B: pressured (already narrowing in H1 FY2026).</t>
        </r>
      </text>
    </comment>
    <comment ref="A9" authorId="0">
      <text>
        <r>
          <rPr>
            <sz val="10"/>
            <rFont val="Arial"/>
            <family val="2"/>
          </rPr>
          <t xml:space="preserve">FY25A R4.8bn, +30.9% on R7.0bn debt (SH1). A: eases as SARB cuts; B: climbs as repo rises toward ~8%+.</t>
        </r>
      </text>
    </comment>
    <comment ref="A10" authorId="0">
      <text>
        <r>
          <rPr>
            <sz val="10"/>
            <rFont val="Arial"/>
            <family val="2"/>
          </rPr>
          <t xml:space="preserve">SA corporate tax 27%.</t>
        </r>
      </text>
    </comment>
    <comment ref="A11" authorId="0">
      <text>
        <r>
          <rPr>
            <sz val="10"/>
            <rFont val="Arial"/>
            <family val="2"/>
          </rPr>
          <t xml:space="preserve">FY25A policy 1.75x (SH1).</t>
        </r>
      </text>
    </comment>
    <comment ref="A12" authorId="0">
      <text>
        <r>
          <rPr>
            <sz val="10"/>
            <rFont val="Arial"/>
            <family val="2"/>
          </rPr>
          <t xml:space="preserve">FY25A 256.7/252.7 = 1.0158; held constant.</t>
        </r>
      </text>
    </comment>
    <comment ref="A13" authorId="0">
      <text>
        <r>
          <rPr>
            <sz val="10"/>
            <rFont val="Arial"/>
            <family val="2"/>
          </rPr>
          <t xml:space="preserve">Calibrated so FY2025A model HEPS ties to reported 1,367.2c; absorbs items not separately modelled.</t>
        </r>
      </text>
    </comment>
    <comment ref="A14" authorId="0">
      <text>
        <r>
          <rPr>
            <sz val="10"/>
            <rFont val="Arial"/>
            <family val="2"/>
          </rPr>
          <t xml:space="preserve">FY25A +47.7% (SH1). Structural growth engine; resilient even in B.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Research</author>
  </authors>
  <commentList>
    <comment ref="B6" authorId="0">
      <text>
        <r>
          <rPr>
            <sz val="10"/>
            <rFont val="Arial"/>
            <family val="2"/>
          </rPr>
          <t xml:space="preserve">SH1 FY2025 actual sale of merchandise R252.7bn.</t>
        </r>
      </text>
    </comment>
    <comment ref="B21" authorId="0">
      <text>
        <r>
          <rPr>
            <sz val="10"/>
            <rFont val="Arial"/>
            <family val="2"/>
          </rPr>
          <t xml:space="preserve">SH1 FY2025 actual R18.9bn.</t>
        </r>
      </text>
    </comment>
  </commentList>
</comments>
</file>

<file path=xl/sharedStrings.xml><?xml version="1.0" encoding="utf-8"?>
<sst xmlns="http://schemas.openxmlformats.org/spreadsheetml/2006/main" count="293" uniqueCount="243">
  <si>
    <t xml:space="preserve">SHOPRITE HOLDINGS LIMITED  (JSE: SHP)</t>
  </si>
  <si>
    <t xml:space="preserve">Hormuz Scenario Model — 12–18 month projections (FY2026e–FY2027e)</t>
  </si>
  <si>
    <t xml:space="preserve">Investment Committee working model  •  17 June 2026  •  Internal research — for information only</t>
  </si>
  <si>
    <t xml:space="preserve">HOW TO USE THIS MODEL</t>
  </si>
  <si>
    <t xml:space="preserve">• Change only the BLUE cells (Assumptions tab). All BLACK cells are formulas; GREEN cells link across sheets.</t>
  </si>
  <si>
    <t xml:space="preserve">• Three scenarios run side-by-side: Scenario A (Strait of Hormuz open / peace holds), a middle Base case,</t>
  </si>
  <si>
    <t xml:space="preserve">   and Scenario B (Strait closes again and stays shut / oil shock persists). Each is modelled for FY2026e &amp; FY2027e.</t>
  </si>
  <si>
    <t xml:space="preserve">• FY2025A is the anchor. Exact reported actuals are on the 'FY2025 Actuals' tab (sacred — do not edit).</t>
  </si>
  <si>
    <t xml:space="preserve">• 'Macro Deck' holds the dated oil / rand / rates / fuel context behind the scenario assumptions.</t>
  </si>
  <si>
    <t xml:space="preserve">METHODOLOGY (transparent, driver-based)</t>
  </si>
  <si>
    <t xml:space="preserve">• Sale of merchandise = prior year × (1 + internal selling-price inflation + real volume/space growth).</t>
  </si>
  <si>
    <t xml:space="preserve">• Gross &amp; trading profit = sale of merchandise × the respective margin assumption.</t>
  </si>
  <si>
    <t xml:space="preserve">• Earnings (e) = trading profit − net finance costs − tax (27%). A simplified bridge; absorbs other</t>
  </si>
  <si>
    <t xml:space="preserve">   income / associates / minorities into a calibrated effective share count so FY2025A HEPS ties to the</t>
  </si>
  <si>
    <t xml:space="preserve">   reported 1,367.2c. Diluted HEPS (e) = earnings ÷ effective diluted shares.</t>
  </si>
  <si>
    <t xml:space="preserve">• All forward figures are analyst estimates (e), NOT company guidance. Scenario macro levels are</t>
  </si>
  <si>
    <t xml:space="preserve">   analyst assumptions, not forecasts. FY2025A model values are a driver-reproduction of the actuals.</t>
  </si>
  <si>
    <t xml:space="preserve">FY2025A ANCHOR (reported, continuing ops — see 'FY2025 Actuals')</t>
  </si>
  <si>
    <t xml:space="preserve">Sale of merchandise</t>
  </si>
  <si>
    <t xml:space="preserve">R252.7bn  (+8.9%)</t>
  </si>
  <si>
    <t xml:space="preserve">Trading profit / margin</t>
  </si>
  <si>
    <t xml:space="preserve">R15.0bn  (+16.6%) / 5.9%</t>
  </si>
  <si>
    <t xml:space="preserve">Diluted HEPS (continuing)</t>
  </si>
  <si>
    <t xml:space="preserve">1,367.2c  (+15.8%)</t>
  </si>
  <si>
    <t xml:space="preserve">DPS (1.75x cover)</t>
  </si>
  <si>
    <t xml:space="preserve">781c  (+9.7%)</t>
  </si>
  <si>
    <t xml:space="preserve">Net cash / borrowings</t>
  </si>
  <si>
    <t xml:space="preserve">R8.1bn net cash / R7.0bn debt</t>
  </si>
  <si>
    <t xml:space="preserve">Net finance costs</t>
  </si>
  <si>
    <t xml:space="preserve">R4.8bn  (+30.9%)</t>
  </si>
  <si>
    <t xml:space="preserve">ROE / ROIC / WACC</t>
  </si>
  <si>
    <t xml:space="preserve">26.7% / 19.4% / 13.5%</t>
  </si>
  <si>
    <t xml:space="preserve">SOURCES</t>
  </si>
  <si>
    <t xml:space="preserve">SH1  Shoprite reviewed results, 52 weeks ended 29 June 2025 (held locally; FY2024 restated IFRS 5).</t>
  </si>
  <si>
    <t xml:space="preserve">      companies/shoprite/annual-reports/shoprite-annual-report-fy2025-20250902.txt</t>
  </si>
  <si>
    <t xml:space="preserve">Companion note: Shoprite_Holdings_SHP_12-18m_Outlook_Hormuz_Scenarios_Jun2026.docx</t>
  </si>
  <si>
    <t xml:space="preserve">H1 FY2026 figures: public SENS / trading update (26 wks to 28 Dec 2025) — not yet catalogued locally; verify.</t>
  </si>
  <si>
    <t xml:space="preserve">Macro (oil/rand/rates/fuel/Hormuz): web search, 17 June 2026 — see 'Macro Deck' for dated links.</t>
  </si>
  <si>
    <t xml:space="preserve">For informational purposes only — not investment advice. Prepared by internal research from public</t>
  </si>
  <si>
    <t xml:space="preserve">disclosures. ZAR. Share prices via web search may be delayed (no live JSE feed). Confirm dealing-period status.</t>
  </si>
  <si>
    <t xml:space="preserve">SHOPRITE — FY2025 REPORTED ACTUALS (continuing operations)</t>
  </si>
  <si>
    <t xml:space="preserve">Reviewed (not audited). FY2024 restated for IFRS 5 (furniture, Ghana, Malawi discontinued). Source: SH1.</t>
  </si>
  <si>
    <t xml:space="preserve">Metric</t>
  </si>
  <si>
    <t xml:space="preserve">FY2025</t>
  </si>
  <si>
    <t xml:space="preserve">FY2024 (restated)</t>
  </si>
  <si>
    <t xml:space="preserve">Change</t>
  </si>
  <si>
    <t xml:space="preserve">Source / note</t>
  </si>
  <si>
    <t xml:space="preserve">R252.7bn</t>
  </si>
  <si>
    <t xml:space="preserve">R232.1bn</t>
  </si>
  <si>
    <t xml:space="preserve">+8.9%</t>
  </si>
  <si>
    <t xml:space="preserve">SH1, key info</t>
  </si>
  <si>
    <t xml:space="preserve">Group revenue</t>
  </si>
  <si>
    <t xml:space="preserve">R256.7bn</t>
  </si>
  <si>
    <t xml:space="preserve">R236.3bn</t>
  </si>
  <si>
    <t xml:space="preserve">+8.6%</t>
  </si>
  <si>
    <t xml:space="preserve">Like-for-like sales</t>
  </si>
  <si>
    <t xml:space="preserve">+4.6%</t>
  </si>
  <si>
    <t xml:space="preserve">—</t>
  </si>
  <si>
    <t xml:space="preserve">SH1 (group +4.8%)</t>
  </si>
  <si>
    <t xml:space="preserve">Gross profit margin</t>
  </si>
  <si>
    <t xml:space="preserve">24.3%</t>
  </si>
  <si>
    <t xml:space="preserve">23.9%</t>
  </si>
  <si>
    <t xml:space="preserve">+40 bps</t>
  </si>
  <si>
    <t xml:space="preserve">SH1, gross margin</t>
  </si>
  <si>
    <t xml:space="preserve">Trading profit</t>
  </si>
  <si>
    <t xml:space="preserve">R15.0bn</t>
  </si>
  <si>
    <t xml:space="preserve">+16.6%</t>
  </si>
  <si>
    <t xml:space="preserve">SH1, trading profit</t>
  </si>
  <si>
    <t xml:space="preserve">Trading margin</t>
  </si>
  <si>
    <t xml:space="preserve">5.9%</t>
  </si>
  <si>
    <t xml:space="preserve">5.5%</t>
  </si>
  <si>
    <t xml:space="preserve">HEPS (continuing), cents</t>
  </si>
  <si>
    <t xml:space="preserve">1,372.1</t>
  </si>
  <si>
    <t xml:space="preserve">1,185.3</t>
  </si>
  <si>
    <t xml:space="preserve">+15.8%</t>
  </si>
  <si>
    <t xml:space="preserve">SH1, EPS table</t>
  </si>
  <si>
    <t xml:space="preserve">Diluted HEPS (continuing), cents</t>
  </si>
  <si>
    <t xml:space="preserve">1,367.2</t>
  </si>
  <si>
    <t xml:space="preserve">1,180.2</t>
  </si>
  <si>
    <t xml:space="preserve">SH1, key info / EPS</t>
  </si>
  <si>
    <t xml:space="preserve">Adjusted DHEPS, cents</t>
  </si>
  <si>
    <t xml:space="preserve">1,410.2</t>
  </si>
  <si>
    <t xml:space="preserve">1,213.3</t>
  </si>
  <si>
    <t xml:space="preserve">+16.2%</t>
  </si>
  <si>
    <t xml:space="preserve">SH1, EPS (pro forma)</t>
  </si>
  <si>
    <t xml:space="preserve">DPS total, cents</t>
  </si>
  <si>
    <t xml:space="preserve">781.0</t>
  </si>
  <si>
    <t xml:space="preserve">712.0</t>
  </si>
  <si>
    <t xml:space="preserve">+9.7%</t>
  </si>
  <si>
    <t xml:space="preserve">SH1, dividend decl.</t>
  </si>
  <si>
    <t xml:space="preserve">Dividend cover, x</t>
  </si>
  <si>
    <t xml:space="preserve">1.75</t>
  </si>
  <si>
    <t xml:space="preserve">policy</t>
  </si>
  <si>
    <t xml:space="preserve">Net cash</t>
  </si>
  <si>
    <t xml:space="preserve">R8.1bn</t>
  </si>
  <si>
    <t xml:space="preserve">R8.84bn</t>
  </si>
  <si>
    <t xml:space="preserve">−R0.75bn</t>
  </si>
  <si>
    <t xml:space="preserve">SH1, net cash</t>
  </si>
  <si>
    <t xml:space="preserve">Total borrowings (mostly ZAR)</t>
  </si>
  <si>
    <t xml:space="preserve">R7.0bn</t>
  </si>
  <si>
    <t xml:space="preserve">R6.0bn</t>
  </si>
  <si>
    <t xml:space="preserve">+R1.0bn</t>
  </si>
  <si>
    <t xml:space="preserve">SH1, borrowings</t>
  </si>
  <si>
    <t xml:space="preserve">R4.8bn</t>
  </si>
  <si>
    <t xml:space="preserve">R3.6bn</t>
  </si>
  <si>
    <t xml:space="preserve">+30.9%</t>
  </si>
  <si>
    <t xml:space="preserve">SH1, finance costs</t>
  </si>
  <si>
    <t xml:space="preserve">Diesel cost (load-shedding)</t>
  </si>
  <si>
    <t xml:space="preserve">R335m</t>
  </si>
  <si>
    <t xml:space="preserve">R810m</t>
  </si>
  <si>
    <t xml:space="preserve">−58.6% (e)</t>
  </si>
  <si>
    <t xml:space="preserve">SH1; derived</t>
  </si>
  <si>
    <t xml:space="preserve">Supermarkets RSA sale of merch.</t>
  </si>
  <si>
    <t xml:space="preserve">R213.5bn</t>
  </si>
  <si>
    <t xml:space="preserve">+9.5%</t>
  </si>
  <si>
    <t xml:space="preserve">SH1, segments</t>
  </si>
  <si>
    <t xml:space="preserve">Sixty60 on-demand sales</t>
  </si>
  <si>
    <t xml:space="preserve">R18.9bn</t>
  </si>
  <si>
    <t xml:space="preserve">+47.7%</t>
  </si>
  <si>
    <t xml:space="preserve">SH1, digital</t>
  </si>
  <si>
    <t xml:space="preserve">Stores (continuing)</t>
  </si>
  <si>
    <t xml:space="preserve">3,478</t>
  </si>
  <si>
    <t xml:space="preserve">3,197</t>
  </si>
  <si>
    <t xml:space="preserve">+281</t>
  </si>
  <si>
    <t xml:space="preserve">SH1, returns</t>
  </si>
  <si>
    <t xml:space="preserve">H1 FY2026 (26 wks to 28 Dec 2025, not yet catalogued locally — verify vs SENS): revenue R138.85bn (+7.1%),</t>
  </si>
  <si>
    <t xml:space="preserve">trading profit R7.73bn (+5.9%), diluted HEPS (cont.) 708.9c (+7.9%), interim DPS 307c, Sixty60 R11.9bn (+34.6%).</t>
  </si>
  <si>
    <t xml:space="preserve">SHOPRITE — SCENARIO ASSUMPTIONS</t>
  </si>
  <si>
    <t xml:space="preserve">BLUE = input you can change. Forward figures are analyst estimates (e); macro levels are assumptions, not forecasts.</t>
  </si>
  <si>
    <t xml:space="preserve">FY2025A</t>
  </si>
  <si>
    <t xml:space="preserve">Scenario A — Strait open</t>
  </si>
  <si>
    <t xml:space="preserve">Base case</t>
  </si>
  <si>
    <t xml:space="preserve">Scenario B — Strait shut</t>
  </si>
  <si>
    <t xml:space="preserve">2025A</t>
  </si>
  <si>
    <t xml:space="preserve">2026e</t>
  </si>
  <si>
    <t xml:space="preserve">2027e</t>
  </si>
  <si>
    <t xml:space="preserve">Internal selling-price inflation (%)</t>
  </si>
  <si>
    <t xml:space="preserve">Real volume + space growth (%)</t>
  </si>
  <si>
    <t xml:space="preserve">Gross margin (%)</t>
  </si>
  <si>
    <t xml:space="preserve">Trading margin (%)</t>
  </si>
  <si>
    <t xml:space="preserve">Net finance costs (R'm)</t>
  </si>
  <si>
    <t xml:space="preserve">Effective tax rate (%)</t>
  </si>
  <si>
    <t xml:space="preserve">Dividend cover (x)</t>
  </si>
  <si>
    <t xml:space="preserve">Group rev / sale-of-merch ratio (x)</t>
  </si>
  <si>
    <t xml:space="preserve">Effective diluted shares (m) — calibrated (e)</t>
  </si>
  <si>
    <t xml:space="preserve">Sixty60 sales growth (%)</t>
  </si>
  <si>
    <t xml:space="preserve">MACRO CONTEXT (analyst scenario assumptions — not forecasts; see 'Macro Deck')</t>
  </si>
  <si>
    <t xml:space="preserve">Brent crude (US$/bbl, period avg)</t>
  </si>
  <si>
    <t xml:space="preserve">USD/ZAR (period avg)</t>
  </si>
  <si>
    <t xml:space="preserve">SARB repo rate (%, period end)</t>
  </si>
  <si>
    <t xml:space="preserve">Inland 95 petrol (R/l, period end)</t>
  </si>
  <si>
    <t xml:space="preserve">SCENARIO RATIONALE</t>
  </si>
  <si>
    <t xml:space="preserve">Scenario A (Strait open): Brent ~$70–80, pump prices ease, food inflation low, SARB resumes cutting, rand firms.</t>
  </si>
  <si>
    <t xml:space="preserve">   Shoprite's tailwind case — lower diesel/finance costs, volume recovery, room to ease price investment;</t>
  </si>
  <si>
    <t xml:space="preserve">   HEPS re-accelerates toward low-teens. But a consumer recovery lifts discretionary/premium peers too, so</t>
  </si>
  <si>
    <t xml:space="preserve">   on a ~20x multiple the share can compound yet LAG a risk-on, cyclical-led rally.</t>
  </si>
  <si>
    <t xml:space="preserve">Scenario B (Strait shut): Brent ~$95–110+, pump at/above record, rand weak, SARB tightens (~8.17% severe path).</t>
  </si>
  <si>
    <t xml:space="preserve">   Tougher business — diesel tailwind reverses with a lag, finance costs climb, volumes soften, margin pressured;</t>
  </si>
  <si>
    <t xml:space="preserve">   HEPS decelerates to mid/high-single-digit. But this is its relative-strength case: non-discretionary food,</t>
  </si>
  <si>
    <t xml:space="preserve">   mass-market value leader (Shoprite, Usave), prime trade-down beneficiary, net cash funds price cuts — a</t>
  </si>
  <si>
    <t xml:space="preserve">   defensive safe-haven that tends to outperform as cyclicals de-rate.</t>
  </si>
  <si>
    <t xml:space="preserve">SHOPRITE — SCENARIO MODEL  (FY2026e–FY2027e)</t>
  </si>
  <si>
    <t xml:space="preserve">BLACK = formula • GREEN = link to Assumptions. (e) = analyst estimate. FY2025A is a driver-reproduction of the actuals.</t>
  </si>
  <si>
    <t xml:space="preserve">Sale-of-merchandise growth (%)</t>
  </si>
  <si>
    <t xml:space="preserve">Sale of merchandise (R'm)</t>
  </si>
  <si>
    <t xml:space="preserve">Group revenue (R'm) (e)</t>
  </si>
  <si>
    <t xml:space="preserve">Gross profit (R'm)</t>
  </si>
  <si>
    <t xml:space="preserve">Trading profit (R'm)</t>
  </si>
  <si>
    <t xml:space="preserve">less: Net finance costs (R'm)</t>
  </si>
  <si>
    <t xml:space="preserve">Profit before tax — proxy (e)</t>
  </si>
  <si>
    <t xml:space="preserve">less: Tax at effective rate (e)</t>
  </si>
  <si>
    <t xml:space="preserve">Earnings — proxy (e), R'm</t>
  </si>
  <si>
    <t xml:space="preserve">Effective diluted shares (m)</t>
  </si>
  <si>
    <t xml:space="preserve">Diluted HEPS — proxy (e), cents</t>
  </si>
  <si>
    <t xml:space="preserve">HEPS growth (%)</t>
  </si>
  <si>
    <t xml:space="preserve">DPS — total (e), cents</t>
  </si>
  <si>
    <t xml:space="preserve">Memo: Sixty60 sales (R'bn) (e)</t>
  </si>
  <si>
    <t xml:space="preserve">HEPS growth lands: Scenario A ≈ low-teens • Base ≈ mid-to-high single → low-teens • Scenario B ≈ mid/high-single decelerating — matching the briefing.</t>
  </si>
  <si>
    <t xml:space="preserve">Relative call: A = good business but may LAG a cyclical rally; B = tougher business but defensive OUTPERFORMER. Neither breaks the case.</t>
  </si>
  <si>
    <t xml:space="preserve">Diluted HEPS (e), cents</t>
  </si>
  <si>
    <t xml:space="preserve">FY2026e</t>
  </si>
  <si>
    <t xml:space="preserve">FY2027e</t>
  </si>
  <si>
    <t xml:space="preserve">Scenario A</t>
  </si>
  <si>
    <t xml:space="preserve">Base</t>
  </si>
  <si>
    <t xml:space="preserve">Scenario B</t>
  </si>
  <si>
    <t xml:space="preserve">Trading profit (e), R'm</t>
  </si>
  <si>
    <t xml:space="preserve">Trading margin (e), %</t>
  </si>
  <si>
    <t xml:space="preserve">MACRO DECK — Strait of Hormuz, oil, rand, rates &amp; fuel (as at 17 June 2026)</t>
  </si>
  <si>
    <t xml:space="preserve">Context behind the scenario assumptions. Levels via web search 17 Jun 2026; may be delayed/secondary.</t>
  </si>
  <si>
    <t xml:space="preserve">STRAIT OF HORMUZ</t>
  </si>
  <si>
    <t xml:space="preserve">Status (17 Jun 2026)</t>
  </si>
  <si>
    <t xml:space="preserve">Closed — day ~108</t>
  </si>
  <si>
    <t xml:space="preserve">Largely shut since 28 Feb 2026; straits.live / NBC tracker</t>
  </si>
  <si>
    <t xml:space="preserve">Normal vs current transits</t>
  </si>
  <si>
    <t xml:space="preserve">~94/day → ~0/day</t>
  </si>
  <si>
    <t xml:space="preserve">NBC News data graphic</t>
  </si>
  <si>
    <t xml:space="preserve">Diplomatic track</t>
  </si>
  <si>
    <t xml:space="preserve">US &amp; Iran committed to reopen</t>
  </si>
  <si>
    <t xml:space="preserve">Bloomberg, 16 Jun 2026</t>
  </si>
  <si>
    <t xml:space="preserve">Projected recovery</t>
  </si>
  <si>
    <t xml:space="preserve">~40 transits within 30 days (if holds)</t>
  </si>
  <si>
    <t xml:space="preserve">Kpler (via Bloomberg)</t>
  </si>
  <si>
    <t xml:space="preserve">Frictions to reopening</t>
  </si>
  <si>
    <t xml:space="preserve">War-risk premium ~2.5% hull; mines; stranded ships</t>
  </si>
  <si>
    <t xml:space="preserve">BRENT CRUDE (US$/bbl)</t>
  </si>
  <si>
    <t xml:space="preserve">March 2026 peak</t>
  </si>
  <si>
    <t xml:space="preserve">$110+</t>
  </si>
  <si>
    <t xml:space="preserve">Companion note (SH outlook)</t>
  </si>
  <si>
    <t xml:space="preserve">1 June 2026</t>
  </si>
  <si>
    <t xml:space="preserve">$96.42</t>
  </si>
  <si>
    <t xml:space="preserve">Fortune</t>
  </si>
  <si>
    <t xml:space="preserve">15 June 2026</t>
  </si>
  <si>
    <t xml:space="preserve">$84.62</t>
  </si>
  <si>
    <t xml:space="preserve">17 June 2026 (spot)</t>
  </si>
  <si>
    <t xml:space="preserve">$79.45</t>
  </si>
  <si>
    <t xml:space="preserve">TradingEconomics</t>
  </si>
  <si>
    <t xml:space="preserve">1-month change</t>
  </si>
  <si>
    <t xml:space="preserve">≈ −29%</t>
  </si>
  <si>
    <t xml:space="preserve">TradingEconomics (reopening priced in)</t>
  </si>
  <si>
    <t xml:space="preserve">EIA STEO 2026 / 2027 avg</t>
  </si>
  <si>
    <t xml:space="preserve">$95 / $79</t>
  </si>
  <si>
    <t xml:space="preserve">EIA STEO, 9 Jun 2026</t>
  </si>
  <si>
    <t xml:space="preserve">SOUTH AFRICA — RAND, RATES, FUEL</t>
  </si>
  <si>
    <t xml:space="preserve">USD/ZAR (mid-June)</t>
  </si>
  <si>
    <t xml:space="preserve">≈ 16.3</t>
  </si>
  <si>
    <t xml:space="preserve">TradingEconomics / FocusEconomics</t>
  </si>
  <si>
    <t xml:space="preserve">SARB repo rate</t>
  </si>
  <si>
    <t xml:space="preserve">7.00% (hiked 25bp 28 May 2026)</t>
  </si>
  <si>
    <t xml:space="preserve">First hike in 3 years; oil-shock driven</t>
  </si>
  <si>
    <t xml:space="preserve">SARB scenario paths (end-2026)</t>
  </si>
  <si>
    <t xml:space="preserve">~6.67% intermediate / ~8.17% severe</t>
  </si>
  <si>
    <t xml:space="preserve">SARB / BusinessTech</t>
  </si>
  <si>
    <t xml:space="preserve">Petrol 95 inland (Jun 2026)</t>
  </si>
  <si>
    <t xml:space="preserve">Record R28.06/l (+143c)</t>
  </si>
  <si>
    <t xml:space="preserve">Incl. fuel-levy relief cut; IOL / gov.za</t>
  </si>
  <si>
    <t xml:space="preserve">Diesel (Jun 2026)</t>
  </si>
  <si>
    <t xml:space="preserve">Fell: 500ppm R27.92 / 50ppm R28.76</t>
  </si>
  <si>
    <t xml:space="preserve">Levy/slate timing — distribution hit is back-loaded</t>
  </si>
  <si>
    <t xml:space="preserve">Fuel-levy relief cut (3–30 Jun)</t>
  </si>
  <si>
    <t xml:space="preserve">−R1.50/l petrol, −R1.96/l diesel</t>
  </si>
  <si>
    <t xml:space="preserve">gov.za, eff. 3 Jun 2026</t>
  </si>
  <si>
    <t xml:space="preserve">Why it matters for Shoprite: petrol = the consumer's wallet; diesel = Shoprite's own distribution cost (FY25 diesel R335m,</t>
  </si>
  <si>
    <t xml:space="preserve">down from R810m as load-shedding eased). A sustained closure reverses that tailwind with a lag and lifts finance costs via the SARB.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</si>
</sst>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%"/>
    <numFmt numFmtId="166" formatCode="#,##0;\(#,##0\);\-"/>
    <numFmt numFmtId="167" formatCode="0.00\x"/>
    <numFmt numFmtId="168" formatCode="0.0000"/>
    <numFmt numFmtId="169" formatCode="#,##0.0"/>
    <numFmt numFmtId="170" formatCode="\$#,##0"/>
    <numFmt numFmtId="171" formatCode="0.00"/>
    <numFmt numFmtId="172" formatCode="\R0.00"/>
    <numFmt numFmtId="173" formatCode="#,##0.0;\(#,##0.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1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548235"/>
        <bgColor rgb="FF339966"/>
      </patternFill>
    </fill>
    <fill>
      <patternFill patternType="solid">
        <fgColor rgb="FF808080"/>
        <bgColor rgb="FF878787"/>
      </patternFill>
    </fill>
    <fill>
      <patternFill patternType="solid">
        <fgColor rgb="FFC0392B"/>
        <bgColor rgb="FF993366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2F2F2"/>
        <bgColor rgb="FFE2EFDA"/>
      </patternFill>
    </fill>
    <fill>
      <patternFill patternType="solid">
        <fgColor rgb="FFFCE4E4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9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C0392B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Shoprite diluted HEPS (e) by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'Scenario Model'!A41</c:f>
              <c:strCache>
                <c:ptCount val="1"/>
                <c:pt idx="0">
                  <c:v>Scenario A</c:v>
                </c:pt>
              </c:strCache>
            </c:strRef>
          </c:tx>
          <c:spPr>
            <a:solidFill>
              <a:srgbClr val="548235"/>
            </a:solidFill>
            <a:ln w="12600">
              <a:solidFill>
                <a:srgbClr val="548235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548235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'Scenario Model'!$B$40:$D$40</c:f>
              <c:strCache>
                <c:ptCount val="3"/>
                <c:pt idx="0">
                  <c:v>FY2025A</c:v>
                </c:pt>
                <c:pt idx="1">
                  <c:v>FY2026e</c:v>
                </c:pt>
                <c:pt idx="2">
                  <c:v>FY2027e</c:v>
                </c:pt>
              </c:strCache>
            </c:strRef>
          </c:cat>
          <c:val>
            <c:numRef>
              <c:f>'Scenario Model'!$B$41:$D$41</c:f>
              <c:numCache>
                <c:formatCode>#,##0.0</c:formatCode>
                <c:ptCount val="3"/>
                <c:pt idx="0">
                  <c:v>1367.13393849574</c:v>
                </c:pt>
                <c:pt idx="1">
                  <c:v>1521.79589292331</c:v>
                </c:pt>
                <c:pt idx="2">
                  <c:v>1705.90041683031</c:v>
                </c:pt>
              </c:numCache>
            </c:numRef>
          </c:val>
        </c:ser>
        <c:ser>
          <c:idx val="1"/>
          <c:order val="1"/>
          <c:tx>
            <c:strRef>
              <c:f>'Scenario Model'!A42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808080"/>
            </a:solidFill>
            <a:ln w="12600">
              <a:solidFill>
                <a:srgbClr val="80808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80808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'Scenario Model'!$B$40:$D$40</c:f>
              <c:strCache>
                <c:ptCount val="3"/>
                <c:pt idx="0">
                  <c:v>FY2025A</c:v>
                </c:pt>
                <c:pt idx="1">
                  <c:v>FY2026e</c:v>
                </c:pt>
                <c:pt idx="2">
                  <c:v>FY2027e</c:v>
                </c:pt>
              </c:strCache>
            </c:strRef>
          </c:cat>
          <c:val>
            <c:numRef>
              <c:f>'Scenario Model'!$B$42:$D$42</c:f>
              <c:numCache>
                <c:formatCode>#,##0.0</c:formatCode>
                <c:ptCount val="3"/>
                <c:pt idx="0">
                  <c:v>1367.13393849574</c:v>
                </c:pt>
                <c:pt idx="1">
                  <c:v>1459.70812847351</c:v>
                </c:pt>
                <c:pt idx="2">
                  <c:v>1616.49115497036</c:v>
                </c:pt>
              </c:numCache>
            </c:numRef>
          </c:val>
        </c:ser>
        <c:ser>
          <c:idx val="2"/>
          <c:order val="2"/>
          <c:tx>
            <c:strRef>
              <c:f>'Scenario Model'!A43</c:f>
              <c:strCache>
                <c:ptCount val="1"/>
                <c:pt idx="0">
                  <c:v>Scenario B</c:v>
                </c:pt>
              </c:strCache>
            </c:strRef>
          </c:tx>
          <c:spPr>
            <a:solidFill>
              <a:srgbClr val="C0392B"/>
            </a:solidFill>
            <a:ln w="12600">
              <a:solidFill>
                <a:srgbClr val="C0392B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C0392B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'Scenario Model'!$B$40:$D$40</c:f>
              <c:strCache>
                <c:ptCount val="3"/>
                <c:pt idx="0">
                  <c:v>FY2025A</c:v>
                </c:pt>
                <c:pt idx="1">
                  <c:v>FY2026e</c:v>
                </c:pt>
                <c:pt idx="2">
                  <c:v>FY2027e</c:v>
                </c:pt>
              </c:strCache>
            </c:strRef>
          </c:cat>
          <c:val>
            <c:numRef>
              <c:f>'Scenario Model'!$B$43:$D$43</c:f>
              <c:numCache>
                <c:formatCode>#,##0.0</c:formatCode>
                <c:ptCount val="3"/>
                <c:pt idx="0">
                  <c:v>1367.13393849574</c:v>
                </c:pt>
                <c:pt idx="1">
                  <c:v>1444.65918117821</c:v>
                </c:pt>
                <c:pt idx="2">
                  <c:v>1510.78856696184</c:v>
                </c:pt>
              </c:numCache>
            </c:numRef>
          </c:val>
        </c:ser>
        <c:gapWidth val="80"/>
        <c:overlap val="0"/>
        <c:axId val="76712023"/>
        <c:axId val="10174346"/>
      </c:barChart>
      <c:catAx>
        <c:axId val="76712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0174346"/>
        <c:crosses val="autoZero"/>
        <c:auto val="1"/>
        <c:lblAlgn val="ctr"/>
        <c:lblOffset val="100"/>
        <c:noMultiLvlLbl val="0"/>
      </c:catAx>
      <c:valAx>
        <c:axId val="101743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671202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Shoprite trading profit (e) by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'Scenario Model'!A46</c:f>
              <c:strCache>
                <c:ptCount val="1"/>
                <c:pt idx="0">
                  <c:v>Scenario A</c:v>
                </c:pt>
              </c:strCache>
            </c:strRef>
          </c:tx>
          <c:spPr>
            <a:solidFill>
              <a:srgbClr val="548235"/>
            </a:solidFill>
            <a:ln w="12600">
              <a:solidFill>
                <a:srgbClr val="548235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548235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'Scenario Model'!$B$45:$D$45</c:f>
              <c:strCache>
                <c:ptCount val="3"/>
                <c:pt idx="0">
                  <c:v>FY2025A</c:v>
                </c:pt>
                <c:pt idx="1">
                  <c:v>FY2026e</c:v>
                </c:pt>
                <c:pt idx="2">
                  <c:v>FY2027e</c:v>
                </c:pt>
              </c:strCache>
            </c:strRef>
          </c:cat>
          <c:val>
            <c:numRef>
              <c:f>'Scenario Model'!$B$46:$D$46</c:f>
              <c:numCache>
                <c:formatCode>#,##0;\(#,##0\);\-</c:formatCode>
                <c:ptCount val="3"/>
                <c:pt idx="0">
                  <c:v>14909.3</c:v>
                </c:pt>
                <c:pt idx="1">
                  <c:v>15952.951</c:v>
                </c:pt>
                <c:pt idx="2">
                  <c:v>17214.315685</c:v>
                </c:pt>
              </c:numCache>
            </c:numRef>
          </c:val>
        </c:ser>
        <c:ser>
          <c:idx val="1"/>
          <c:order val="1"/>
          <c:tx>
            <c:strRef>
              <c:f>'Scenario Model'!A47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808080"/>
            </a:solidFill>
            <a:ln w="12600">
              <a:solidFill>
                <a:srgbClr val="80808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80808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'Scenario Model'!$B$45:$D$45</c:f>
              <c:strCache>
                <c:ptCount val="3"/>
                <c:pt idx="0">
                  <c:v>FY2025A</c:v>
                </c:pt>
                <c:pt idx="1">
                  <c:v>FY2026e</c:v>
                </c:pt>
                <c:pt idx="2">
                  <c:v>FY2027e</c:v>
                </c:pt>
              </c:strCache>
            </c:strRef>
          </c:cat>
          <c:val>
            <c:numRef>
              <c:f>'Scenario Model'!$B$47:$D$47</c:f>
              <c:numCache>
                <c:formatCode>#,##0;\(#,##0\);\-</c:formatCode>
                <c:ptCount val="3"/>
                <c:pt idx="0">
                  <c:v>14909.3</c:v>
                </c:pt>
                <c:pt idx="1">
                  <c:v>15743.84175</c:v>
                </c:pt>
                <c:pt idx="2">
                  <c:v>16853.177061</c:v>
                </c:pt>
              </c:numCache>
            </c:numRef>
          </c:val>
        </c:ser>
        <c:ser>
          <c:idx val="2"/>
          <c:order val="2"/>
          <c:tx>
            <c:strRef>
              <c:f>'Scenario Model'!A48</c:f>
              <c:strCache>
                <c:ptCount val="1"/>
                <c:pt idx="0">
                  <c:v>Scenario B</c:v>
                </c:pt>
              </c:strCache>
            </c:strRef>
          </c:tx>
          <c:spPr>
            <a:solidFill>
              <a:srgbClr val="C0392B"/>
            </a:solidFill>
            <a:ln w="12600">
              <a:solidFill>
                <a:srgbClr val="C0392B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C0392B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'Scenario Model'!$B$45:$D$45</c:f>
              <c:strCache>
                <c:ptCount val="3"/>
                <c:pt idx="0">
                  <c:v>FY2025A</c:v>
                </c:pt>
                <c:pt idx="1">
                  <c:v>FY2026e</c:v>
                </c:pt>
                <c:pt idx="2">
                  <c:v>FY2027e</c:v>
                </c:pt>
              </c:strCache>
            </c:strRef>
          </c:cat>
          <c:val>
            <c:numRef>
              <c:f>'Scenario Model'!$B$48:$D$48</c:f>
              <c:numCache>
                <c:formatCode>#,##0;\(#,##0\);\-</c:formatCode>
                <c:ptCount val="3"/>
                <c:pt idx="0">
                  <c:v>14909.3</c:v>
                </c:pt>
                <c:pt idx="1">
                  <c:v>15682.562</c:v>
                </c:pt>
                <c:pt idx="2">
                  <c:v>16471.557102</c:v>
                </c:pt>
              </c:numCache>
            </c:numRef>
          </c:val>
        </c:ser>
        <c:gapWidth val="80"/>
        <c:overlap val="0"/>
        <c:axId val="89677404"/>
        <c:axId val="46769031"/>
      </c:barChart>
      <c:catAx>
        <c:axId val="896774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769031"/>
        <c:crosses val="autoZero"/>
        <c:auto val="1"/>
        <c:lblAlgn val="ctr"/>
        <c:lblOffset val="100"/>
        <c:noMultiLvlLbl val="0"/>
      </c:catAx>
      <c:valAx>
        <c:axId val="467690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R'm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967740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Shoprite trading margin (e) by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'Scenario Model'!A51</c:f>
              <c:strCache>
                <c:ptCount val="1"/>
                <c:pt idx="0">
                  <c:v>Scenario A</c:v>
                </c:pt>
              </c:strCache>
            </c:strRef>
          </c:tx>
          <c:spPr>
            <a:solidFill>
              <a:srgbClr val="548235"/>
            </a:solidFill>
            <a:ln w="28080">
              <a:solidFill>
                <a:srgbClr val="548235"/>
              </a:solidFill>
              <a:round/>
            </a:ln>
          </c:spPr>
          <c:marker>
            <c:symbol val="circle"/>
            <c:size val="6"/>
            <c:spPr>
              <a:solidFill>
                <a:srgbClr val="548235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'Scenario Model'!$B$50:$D$50</c:f>
              <c:strCache>
                <c:ptCount val="3"/>
                <c:pt idx="0">
                  <c:v>FY2025A</c:v>
                </c:pt>
                <c:pt idx="1">
                  <c:v>FY2026e</c:v>
                </c:pt>
                <c:pt idx="2">
                  <c:v>FY2027e</c:v>
                </c:pt>
              </c:strCache>
            </c:strRef>
          </c:cat>
          <c:val>
            <c:numRef>
              <c:f>'Scenario Model'!$B$51:$D$51</c:f>
              <c:numCache>
                <c:formatCode>0.0%</c:formatCode>
                <c:ptCount val="3"/>
                <c:pt idx="0">
                  <c:v>0.059</c:v>
                </c:pt>
                <c:pt idx="1">
                  <c:v>0.059</c:v>
                </c:pt>
                <c:pt idx="2">
                  <c:v>0.0595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'Scenario Model'!A52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808080"/>
            </a:solidFill>
            <a:ln w="28080">
              <a:solidFill>
                <a:srgbClr val="808080"/>
              </a:solidFill>
              <a:round/>
            </a:ln>
          </c:spPr>
          <c:marker>
            <c:symbol val="circle"/>
            <c:size val="6"/>
            <c:spPr>
              <a:solidFill>
                <a:srgbClr val="808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'Scenario Model'!$B$50:$D$50</c:f>
              <c:strCache>
                <c:ptCount val="3"/>
                <c:pt idx="0">
                  <c:v>FY2025A</c:v>
                </c:pt>
                <c:pt idx="1">
                  <c:v>FY2026e</c:v>
                </c:pt>
                <c:pt idx="2">
                  <c:v>FY2027e</c:v>
                </c:pt>
              </c:strCache>
            </c:strRef>
          </c:cat>
          <c:val>
            <c:numRef>
              <c:f>'Scenario Model'!$B$52:$D$52</c:f>
              <c:numCache>
                <c:formatCode>0.0%</c:formatCode>
                <c:ptCount val="3"/>
                <c:pt idx="0">
                  <c:v>0.059</c:v>
                </c:pt>
                <c:pt idx="1">
                  <c:v>0.0585</c:v>
                </c:pt>
                <c:pt idx="2">
                  <c:v>0.0588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'Scenario Model'!A53</c:f>
              <c:strCache>
                <c:ptCount val="1"/>
                <c:pt idx="0">
                  <c:v>Scenario B</c:v>
                </c:pt>
              </c:strCache>
            </c:strRef>
          </c:tx>
          <c:spPr>
            <a:solidFill>
              <a:srgbClr val="C0392B"/>
            </a:solidFill>
            <a:ln w="28080">
              <a:solidFill>
                <a:srgbClr val="C0392B"/>
              </a:solidFill>
              <a:round/>
            </a:ln>
          </c:spPr>
          <c:marker>
            <c:symbol val="circle"/>
            <c:size val="6"/>
            <c:spPr>
              <a:solidFill>
                <a:srgbClr val="C0392B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'Scenario Model'!$B$50:$D$50</c:f>
              <c:strCache>
                <c:ptCount val="3"/>
                <c:pt idx="0">
                  <c:v>FY2025A</c:v>
                </c:pt>
                <c:pt idx="1">
                  <c:v>FY2026e</c:v>
                </c:pt>
                <c:pt idx="2">
                  <c:v>FY2027e</c:v>
                </c:pt>
              </c:strCache>
            </c:strRef>
          </c:cat>
          <c:val>
            <c:numRef>
              <c:f>'Scenario Model'!$B$53:$D$53</c:f>
              <c:numCache>
                <c:formatCode>0.0%</c:formatCode>
                <c:ptCount val="3"/>
                <c:pt idx="0">
                  <c:v>0.059</c:v>
                </c:pt>
                <c:pt idx="1">
                  <c:v>0.058</c:v>
                </c:pt>
                <c:pt idx="2">
                  <c:v>0.0572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7335940"/>
        <c:axId val="6690113"/>
      </c:lineChart>
      <c:catAx>
        <c:axId val="273359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90113"/>
        <c:crosses val="autoZero"/>
        <c:auto val="1"/>
        <c:lblAlgn val="ctr"/>
        <c:lblOffset val="100"/>
        <c:noMultiLvlLbl val="0"/>
      </c:catAx>
      <c:valAx>
        <c:axId val="66901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733594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0</xdr:rowOff>
    </xdr:from>
    <xdr:to>
      <xdr:col>16</xdr:col>
      <xdr:colOff>219240</xdr:colOff>
      <xdr:row>15</xdr:row>
      <xdr:rowOff>115200</xdr:rowOff>
    </xdr:to>
    <xdr:graphicFrame>
      <xdr:nvGraphicFramePr>
        <xdr:cNvPr id="1" name="Chart 1"/>
        <xdr:cNvGraphicFramePr/>
      </xdr:nvGraphicFramePr>
      <xdr:xfrm>
        <a:off x="8928720" y="410760"/>
        <a:ext cx="449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17</xdr:row>
      <xdr:rowOff>0</xdr:rowOff>
    </xdr:from>
    <xdr:to>
      <xdr:col>16</xdr:col>
      <xdr:colOff>219240</xdr:colOff>
      <xdr:row>30</xdr:row>
      <xdr:rowOff>115200</xdr:rowOff>
    </xdr:to>
    <xdr:graphicFrame>
      <xdr:nvGraphicFramePr>
        <xdr:cNvPr id="2" name="Chart 2"/>
        <xdr:cNvGraphicFramePr/>
      </xdr:nvGraphicFramePr>
      <xdr:xfrm>
        <a:off x="8928720" y="3268440"/>
        <a:ext cx="449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32</xdr:row>
      <xdr:rowOff>0</xdr:rowOff>
    </xdr:from>
    <xdr:to>
      <xdr:col>16</xdr:col>
      <xdr:colOff>219240</xdr:colOff>
      <xdr:row>45</xdr:row>
      <xdr:rowOff>115200</xdr:rowOff>
    </xdr:to>
    <xdr:graphicFrame>
      <xdr:nvGraphicFramePr>
        <xdr:cNvPr id="3" name="Chart 3"/>
        <xdr:cNvGraphicFramePr/>
      </xdr:nvGraphicFramePr>
      <xdr:xfrm>
        <a:off x="8928720" y="6125760"/>
        <a:ext cx="449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8" min="3" style="0" width="16"/>
    <col collapsed="false" customWidth="true" hidden="false" outlineLevel="0" max="9" min="9" style="0" width="2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5" t="s">
        <v>4</v>
      </c>
    </row>
    <row r="8" customFormat="false" ht="15" hidden="false" customHeight="false" outlineLevel="0" collapsed="false">
      <c r="B8" s="5" t="s">
        <v>5</v>
      </c>
    </row>
    <row r="9" customFormat="false" ht="15" hidden="false" customHeight="false" outlineLevel="0" collapsed="false">
      <c r="B9" s="5" t="s">
        <v>6</v>
      </c>
    </row>
    <row r="10" customFormat="false" ht="15" hidden="false" customHeight="false" outlineLevel="0" collapsed="false">
      <c r="B10" s="5" t="s">
        <v>7</v>
      </c>
    </row>
    <row r="11" customFormat="false" ht="15" hidden="false" customHeight="false" outlineLevel="0" collapsed="false">
      <c r="B11" s="5" t="s">
        <v>8</v>
      </c>
    </row>
    <row r="13" customFormat="false" ht="15" hidden="false" customHeight="false" outlineLevel="0" collapsed="false">
      <c r="B13" s="4" t="s">
        <v>9</v>
      </c>
    </row>
    <row r="14" customFormat="false" ht="15" hidden="false" customHeight="false" outlineLevel="0" collapsed="false">
      <c r="B14" s="5" t="s">
        <v>10</v>
      </c>
    </row>
    <row r="15" customFormat="false" ht="15" hidden="false" customHeight="false" outlineLevel="0" collapsed="false">
      <c r="B15" s="5" t="s">
        <v>11</v>
      </c>
    </row>
    <row r="16" customFormat="false" ht="15" hidden="false" customHeight="false" outlineLevel="0" collapsed="false">
      <c r="B16" s="5" t="s">
        <v>12</v>
      </c>
    </row>
    <row r="17" customFormat="false" ht="15" hidden="false" customHeight="false" outlineLevel="0" collapsed="false">
      <c r="B17" s="5" t="s">
        <v>13</v>
      </c>
    </row>
    <row r="18" customFormat="false" ht="15" hidden="false" customHeight="false" outlineLevel="0" collapsed="false">
      <c r="B18" s="5" t="s">
        <v>14</v>
      </c>
    </row>
    <row r="19" customFormat="false" ht="15" hidden="false" customHeight="false" outlineLevel="0" collapsed="false">
      <c r="B19" s="5" t="s">
        <v>15</v>
      </c>
    </row>
    <row r="20" customFormat="false" ht="15" hidden="false" customHeight="false" outlineLevel="0" collapsed="false">
      <c r="B20" s="5" t="s">
        <v>16</v>
      </c>
    </row>
    <row r="22" customFormat="false" ht="15" hidden="false" customHeight="false" outlineLevel="0" collapsed="false">
      <c r="B22" s="4" t="s">
        <v>17</v>
      </c>
    </row>
    <row r="23" customFormat="false" ht="15" hidden="false" customHeight="false" outlineLevel="0" collapsed="false">
      <c r="B23" s="6" t="s">
        <v>18</v>
      </c>
      <c r="D23" s="4" t="s">
        <v>19</v>
      </c>
    </row>
    <row r="24" customFormat="false" ht="15" hidden="false" customHeight="false" outlineLevel="0" collapsed="false">
      <c r="B24" s="6" t="s">
        <v>20</v>
      </c>
      <c r="D24" s="4" t="s">
        <v>21</v>
      </c>
    </row>
    <row r="25" customFormat="false" ht="15" hidden="false" customHeight="false" outlineLevel="0" collapsed="false">
      <c r="B25" s="6" t="s">
        <v>22</v>
      </c>
      <c r="D25" s="4" t="s">
        <v>23</v>
      </c>
    </row>
    <row r="26" customFormat="false" ht="15" hidden="false" customHeight="false" outlineLevel="0" collapsed="false">
      <c r="B26" s="6" t="s">
        <v>24</v>
      </c>
      <c r="D26" s="4" t="s">
        <v>25</v>
      </c>
    </row>
    <row r="27" customFormat="false" ht="15" hidden="false" customHeight="false" outlineLevel="0" collapsed="false">
      <c r="B27" s="6" t="s">
        <v>26</v>
      </c>
      <c r="D27" s="4" t="s">
        <v>27</v>
      </c>
    </row>
    <row r="28" customFormat="false" ht="15" hidden="false" customHeight="false" outlineLevel="0" collapsed="false">
      <c r="B28" s="6" t="s">
        <v>28</v>
      </c>
      <c r="D28" s="4" t="s">
        <v>29</v>
      </c>
    </row>
    <row r="29" customFormat="false" ht="15" hidden="false" customHeight="false" outlineLevel="0" collapsed="false">
      <c r="B29" s="6" t="s">
        <v>30</v>
      </c>
      <c r="D29" s="4" t="s">
        <v>31</v>
      </c>
    </row>
    <row r="31" customFormat="false" ht="15" hidden="false" customHeight="false" outlineLevel="0" collapsed="false">
      <c r="B31" s="4" t="s">
        <v>32</v>
      </c>
    </row>
    <row r="32" customFormat="false" ht="15" hidden="false" customHeight="false" outlineLevel="0" collapsed="false">
      <c r="B32" s="7" t="s">
        <v>33</v>
      </c>
    </row>
    <row r="33" customFormat="false" ht="15" hidden="false" customHeight="false" outlineLevel="0" collapsed="false">
      <c r="B33" s="7" t="s">
        <v>34</v>
      </c>
    </row>
    <row r="34" customFormat="false" ht="15" hidden="false" customHeight="false" outlineLevel="0" collapsed="false">
      <c r="B34" s="7" t="s">
        <v>35</v>
      </c>
    </row>
    <row r="35" customFormat="false" ht="15" hidden="false" customHeight="false" outlineLevel="0" collapsed="false">
      <c r="B35" s="7" t="s">
        <v>36</v>
      </c>
    </row>
    <row r="36" customFormat="false" ht="15" hidden="false" customHeight="false" outlineLevel="0" collapsed="false">
      <c r="B36" s="7" t="s">
        <v>37</v>
      </c>
    </row>
    <row r="38" customFormat="false" ht="15" hidden="false" customHeight="false" outlineLevel="0" collapsed="false">
      <c r="B38" s="7" t="s">
        <v>38</v>
      </c>
    </row>
    <row r="39" customFormat="false" ht="15" hidden="false" customHeight="false" outlineLevel="0" collapsed="false">
      <c r="B39" s="7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40"/>
  </cols>
  <sheetData>
    <row r="2" customFormat="false" ht="17.35" hidden="false" customHeight="false" outlineLevel="0" collapsed="false">
      <c r="B2" s="1" t="s">
        <v>40</v>
      </c>
    </row>
    <row r="3" customFormat="false" ht="15" hidden="false" customHeight="false" outlineLevel="0" collapsed="false">
      <c r="B3" s="3" t="s">
        <v>41</v>
      </c>
    </row>
    <row r="5" customFormat="false" ht="15" hidden="false" customHeight="false" outlineLevel="0" collapsed="false">
      <c r="B5" s="8" t="s">
        <v>42</v>
      </c>
      <c r="C5" s="9" t="s">
        <v>43</v>
      </c>
      <c r="D5" s="9" t="s">
        <v>44</v>
      </c>
      <c r="E5" s="9" t="s">
        <v>45</v>
      </c>
      <c r="F5" s="8" t="s">
        <v>46</v>
      </c>
    </row>
    <row r="6" customFormat="false" ht="15" hidden="false" customHeight="false" outlineLevel="0" collapsed="false">
      <c r="B6" s="10" t="s">
        <v>18</v>
      </c>
      <c r="C6" s="11" t="s">
        <v>47</v>
      </c>
      <c r="D6" s="12" t="s">
        <v>48</v>
      </c>
      <c r="E6" s="13" t="s">
        <v>49</v>
      </c>
      <c r="F6" s="14" t="s">
        <v>50</v>
      </c>
    </row>
    <row r="7" customFormat="false" ht="15" hidden="false" customHeight="false" outlineLevel="0" collapsed="false">
      <c r="B7" s="10" t="s">
        <v>51</v>
      </c>
      <c r="C7" s="11" t="s">
        <v>52</v>
      </c>
      <c r="D7" s="12" t="s">
        <v>53</v>
      </c>
      <c r="E7" s="13" t="s">
        <v>54</v>
      </c>
      <c r="F7" s="14" t="s">
        <v>50</v>
      </c>
    </row>
    <row r="8" customFormat="false" ht="15" hidden="false" customHeight="false" outlineLevel="0" collapsed="false">
      <c r="B8" s="10" t="s">
        <v>55</v>
      </c>
      <c r="C8" s="11" t="s">
        <v>56</v>
      </c>
      <c r="D8" s="12" t="s">
        <v>57</v>
      </c>
      <c r="E8" s="13" t="s">
        <v>57</v>
      </c>
      <c r="F8" s="14" t="s">
        <v>58</v>
      </c>
    </row>
    <row r="9" customFormat="false" ht="15" hidden="false" customHeight="false" outlineLevel="0" collapsed="false">
      <c r="B9" s="10" t="s">
        <v>59</v>
      </c>
      <c r="C9" s="11" t="s">
        <v>60</v>
      </c>
      <c r="D9" s="12" t="s">
        <v>61</v>
      </c>
      <c r="E9" s="13" t="s">
        <v>62</v>
      </c>
      <c r="F9" s="14" t="s">
        <v>63</v>
      </c>
    </row>
    <row r="10" customFormat="false" ht="15" hidden="false" customHeight="false" outlineLevel="0" collapsed="false">
      <c r="B10" s="10" t="s">
        <v>64</v>
      </c>
      <c r="C10" s="11" t="s">
        <v>65</v>
      </c>
      <c r="D10" s="12" t="s">
        <v>57</v>
      </c>
      <c r="E10" s="13" t="s">
        <v>66</v>
      </c>
      <c r="F10" s="14" t="s">
        <v>67</v>
      </c>
    </row>
    <row r="11" customFormat="false" ht="15" hidden="false" customHeight="false" outlineLevel="0" collapsed="false">
      <c r="B11" s="10" t="s">
        <v>68</v>
      </c>
      <c r="C11" s="11" t="s">
        <v>69</v>
      </c>
      <c r="D11" s="12" t="s">
        <v>70</v>
      </c>
      <c r="E11" s="13" t="s">
        <v>62</v>
      </c>
      <c r="F11" s="14" t="s">
        <v>67</v>
      </c>
    </row>
    <row r="12" customFormat="false" ht="15" hidden="false" customHeight="false" outlineLevel="0" collapsed="false">
      <c r="B12" s="10" t="s">
        <v>71</v>
      </c>
      <c r="C12" s="11" t="s">
        <v>72</v>
      </c>
      <c r="D12" s="12" t="s">
        <v>73</v>
      </c>
      <c r="E12" s="13" t="s">
        <v>74</v>
      </c>
      <c r="F12" s="14" t="s">
        <v>75</v>
      </c>
    </row>
    <row r="13" customFormat="false" ht="15" hidden="false" customHeight="false" outlineLevel="0" collapsed="false">
      <c r="B13" s="10" t="s">
        <v>76</v>
      </c>
      <c r="C13" s="11" t="s">
        <v>77</v>
      </c>
      <c r="D13" s="12" t="s">
        <v>78</v>
      </c>
      <c r="E13" s="13" t="s">
        <v>74</v>
      </c>
      <c r="F13" s="14" t="s">
        <v>79</v>
      </c>
    </row>
    <row r="14" customFormat="false" ht="15" hidden="false" customHeight="false" outlineLevel="0" collapsed="false">
      <c r="B14" s="10" t="s">
        <v>80</v>
      </c>
      <c r="C14" s="11" t="s">
        <v>81</v>
      </c>
      <c r="D14" s="12" t="s">
        <v>82</v>
      </c>
      <c r="E14" s="13" t="s">
        <v>83</v>
      </c>
      <c r="F14" s="14" t="s">
        <v>84</v>
      </c>
    </row>
    <row r="15" customFormat="false" ht="15" hidden="false" customHeight="false" outlineLevel="0" collapsed="false">
      <c r="B15" s="10" t="s">
        <v>85</v>
      </c>
      <c r="C15" s="11" t="s">
        <v>86</v>
      </c>
      <c r="D15" s="12" t="s">
        <v>87</v>
      </c>
      <c r="E15" s="13" t="s">
        <v>88</v>
      </c>
      <c r="F15" s="14" t="s">
        <v>89</v>
      </c>
    </row>
    <row r="16" customFormat="false" ht="15" hidden="false" customHeight="false" outlineLevel="0" collapsed="false">
      <c r="B16" s="10" t="s">
        <v>90</v>
      </c>
      <c r="C16" s="11" t="s">
        <v>91</v>
      </c>
      <c r="D16" s="12" t="s">
        <v>57</v>
      </c>
      <c r="E16" s="13" t="s">
        <v>92</v>
      </c>
      <c r="F16" s="14" t="s">
        <v>50</v>
      </c>
    </row>
    <row r="17" customFormat="false" ht="15" hidden="false" customHeight="false" outlineLevel="0" collapsed="false">
      <c r="B17" s="10" t="s">
        <v>93</v>
      </c>
      <c r="C17" s="11" t="s">
        <v>94</v>
      </c>
      <c r="D17" s="12" t="s">
        <v>95</v>
      </c>
      <c r="E17" s="13" t="s">
        <v>96</v>
      </c>
      <c r="F17" s="14" t="s">
        <v>97</v>
      </c>
    </row>
    <row r="18" customFormat="false" ht="15" hidden="false" customHeight="false" outlineLevel="0" collapsed="false">
      <c r="B18" s="10" t="s">
        <v>98</v>
      </c>
      <c r="C18" s="11" t="s">
        <v>99</v>
      </c>
      <c r="D18" s="12" t="s">
        <v>100</v>
      </c>
      <c r="E18" s="13" t="s">
        <v>101</v>
      </c>
      <c r="F18" s="14" t="s">
        <v>102</v>
      </c>
    </row>
    <row r="19" customFormat="false" ht="15" hidden="false" customHeight="false" outlineLevel="0" collapsed="false">
      <c r="B19" s="10" t="s">
        <v>28</v>
      </c>
      <c r="C19" s="11" t="s">
        <v>103</v>
      </c>
      <c r="D19" s="12" t="s">
        <v>104</v>
      </c>
      <c r="E19" s="13" t="s">
        <v>105</v>
      </c>
      <c r="F19" s="14" t="s">
        <v>106</v>
      </c>
    </row>
    <row r="20" customFormat="false" ht="15" hidden="false" customHeight="false" outlineLevel="0" collapsed="false">
      <c r="B20" s="10" t="s">
        <v>107</v>
      </c>
      <c r="C20" s="11" t="s">
        <v>108</v>
      </c>
      <c r="D20" s="12" t="s">
        <v>109</v>
      </c>
      <c r="E20" s="13" t="s">
        <v>110</v>
      </c>
      <c r="F20" s="14" t="s">
        <v>111</v>
      </c>
    </row>
    <row r="21" customFormat="false" ht="15" hidden="false" customHeight="false" outlineLevel="0" collapsed="false">
      <c r="B21" s="10" t="s">
        <v>112</v>
      </c>
      <c r="C21" s="11" t="s">
        <v>113</v>
      </c>
      <c r="D21" s="12" t="s">
        <v>57</v>
      </c>
      <c r="E21" s="13" t="s">
        <v>114</v>
      </c>
      <c r="F21" s="14" t="s">
        <v>115</v>
      </c>
    </row>
    <row r="22" customFormat="false" ht="15" hidden="false" customHeight="false" outlineLevel="0" collapsed="false">
      <c r="B22" s="10" t="s">
        <v>116</v>
      </c>
      <c r="C22" s="11" t="s">
        <v>117</v>
      </c>
      <c r="D22" s="12" t="s">
        <v>57</v>
      </c>
      <c r="E22" s="13" t="s">
        <v>118</v>
      </c>
      <c r="F22" s="14" t="s">
        <v>119</v>
      </c>
    </row>
    <row r="23" customFormat="false" ht="15" hidden="false" customHeight="false" outlineLevel="0" collapsed="false">
      <c r="B23" s="10" t="s">
        <v>120</v>
      </c>
      <c r="C23" s="11" t="s">
        <v>121</v>
      </c>
      <c r="D23" s="12" t="s">
        <v>122</v>
      </c>
      <c r="E23" s="13" t="s">
        <v>123</v>
      </c>
      <c r="F23" s="14" t="s">
        <v>50</v>
      </c>
    </row>
    <row r="24" customFormat="false" ht="15" hidden="false" customHeight="false" outlineLevel="0" collapsed="false">
      <c r="B24" s="10" t="s">
        <v>30</v>
      </c>
      <c r="C24" s="11" t="s">
        <v>31</v>
      </c>
      <c r="D24" s="12" t="s">
        <v>57</v>
      </c>
      <c r="E24" s="13" t="s">
        <v>57</v>
      </c>
      <c r="F24" s="14" t="s">
        <v>124</v>
      </c>
    </row>
    <row r="26" customFormat="false" ht="15" hidden="false" customHeight="false" outlineLevel="0" collapsed="false">
      <c r="B26" s="5" t="s">
        <v>125</v>
      </c>
    </row>
    <row r="27" customFormat="false" ht="15" hidden="false" customHeight="false" outlineLevel="0" collapsed="false">
      <c r="B27" s="5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8" min="3" style="0" width="11"/>
  </cols>
  <sheetData>
    <row r="1" customFormat="false" ht="17.35" hidden="false" customHeight="false" outlineLevel="0" collapsed="false">
      <c r="A1" s="1" t="s">
        <v>127</v>
      </c>
    </row>
    <row r="2" customFormat="false" ht="15" hidden="false" customHeight="false" outlineLevel="0" collapsed="false">
      <c r="A2" s="3" t="s">
        <v>128</v>
      </c>
    </row>
    <row r="3" customFormat="false" ht="15" hidden="false" customHeight="false" outlineLevel="0" collapsed="false">
      <c r="B3" s="9" t="s">
        <v>129</v>
      </c>
      <c r="C3" s="15" t="s">
        <v>130</v>
      </c>
      <c r="D3" s="15"/>
      <c r="E3" s="16" t="s">
        <v>131</v>
      </c>
      <c r="F3" s="16"/>
      <c r="G3" s="17" t="s">
        <v>132</v>
      </c>
      <c r="H3" s="17"/>
    </row>
    <row r="4" customFormat="false" ht="15" hidden="false" customHeight="false" outlineLevel="0" collapsed="false">
      <c r="B4" s="18" t="s">
        <v>133</v>
      </c>
      <c r="C4" s="19" t="s">
        <v>134</v>
      </c>
      <c r="D4" s="19" t="s">
        <v>135</v>
      </c>
      <c r="E4" s="20" t="s">
        <v>134</v>
      </c>
      <c r="F4" s="20" t="s">
        <v>135</v>
      </c>
      <c r="G4" s="21" t="s">
        <v>134</v>
      </c>
      <c r="H4" s="21" t="s">
        <v>135</v>
      </c>
    </row>
    <row r="5" customFormat="false" ht="15" hidden="false" customHeight="false" outlineLevel="0" collapsed="false">
      <c r="A5" s="6" t="s">
        <v>136</v>
      </c>
      <c r="B5" s="22" t="n">
        <v>0.023</v>
      </c>
      <c r="C5" s="23" t="n">
        <v>0.03</v>
      </c>
      <c r="D5" s="23" t="n">
        <v>0.03</v>
      </c>
      <c r="E5" s="24" t="n">
        <v>0.04</v>
      </c>
      <c r="F5" s="24" t="n">
        <v>0.04</v>
      </c>
      <c r="G5" s="25" t="n">
        <v>0.055</v>
      </c>
      <c r="H5" s="25" t="n">
        <v>0.05</v>
      </c>
    </row>
    <row r="6" customFormat="false" ht="15" hidden="false" customHeight="false" outlineLevel="0" collapsed="false">
      <c r="A6" s="6" t="s">
        <v>137</v>
      </c>
      <c r="B6" s="22" t="n">
        <v>0.066</v>
      </c>
      <c r="C6" s="23" t="n">
        <v>0.04</v>
      </c>
      <c r="D6" s="23" t="n">
        <v>0.04</v>
      </c>
      <c r="E6" s="24" t="n">
        <v>0.025</v>
      </c>
      <c r="F6" s="24" t="n">
        <v>0.025</v>
      </c>
      <c r="G6" s="25" t="n">
        <v>0.015</v>
      </c>
      <c r="H6" s="25" t="n">
        <v>0.015</v>
      </c>
    </row>
    <row r="7" customFormat="false" ht="15" hidden="false" customHeight="false" outlineLevel="0" collapsed="false">
      <c r="A7" s="6" t="s">
        <v>138</v>
      </c>
      <c r="B7" s="22" t="n">
        <v>0.243</v>
      </c>
      <c r="C7" s="23" t="n">
        <v>0.243</v>
      </c>
      <c r="D7" s="23" t="n">
        <v>0.244</v>
      </c>
      <c r="E7" s="24" t="n">
        <v>0.242</v>
      </c>
      <c r="F7" s="24" t="n">
        <v>0.242</v>
      </c>
      <c r="G7" s="25" t="n">
        <v>0.24</v>
      </c>
      <c r="H7" s="25" t="n">
        <v>0.239</v>
      </c>
    </row>
    <row r="8" customFormat="false" ht="15" hidden="false" customHeight="false" outlineLevel="0" collapsed="false">
      <c r="A8" s="6" t="s">
        <v>139</v>
      </c>
      <c r="B8" s="22" t="n">
        <v>0.059</v>
      </c>
      <c r="C8" s="23" t="n">
        <v>0.059</v>
      </c>
      <c r="D8" s="23" t="n">
        <v>0.0595</v>
      </c>
      <c r="E8" s="24" t="n">
        <v>0.0585</v>
      </c>
      <c r="F8" s="24" t="n">
        <v>0.0588</v>
      </c>
      <c r="G8" s="25" t="n">
        <v>0.058</v>
      </c>
      <c r="H8" s="25" t="n">
        <v>0.0572</v>
      </c>
    </row>
    <row r="9" customFormat="false" ht="15" hidden="false" customHeight="false" outlineLevel="0" collapsed="false">
      <c r="A9" s="6" t="s">
        <v>140</v>
      </c>
      <c r="B9" s="26" t="n">
        <v>4800</v>
      </c>
      <c r="C9" s="27" t="n">
        <v>4700</v>
      </c>
      <c r="D9" s="27" t="n">
        <v>4600</v>
      </c>
      <c r="E9" s="28" t="n">
        <v>4950</v>
      </c>
      <c r="F9" s="28" t="n">
        <v>4900</v>
      </c>
      <c r="G9" s="29" t="n">
        <v>5000</v>
      </c>
      <c r="H9" s="29" t="n">
        <v>5300</v>
      </c>
    </row>
    <row r="10" customFormat="false" ht="15" hidden="false" customHeight="false" outlineLevel="0" collapsed="false">
      <c r="A10" s="6" t="s">
        <v>141</v>
      </c>
      <c r="B10" s="22" t="n">
        <v>0.27</v>
      </c>
      <c r="C10" s="23" t="n">
        <v>0.27</v>
      </c>
      <c r="D10" s="23" t="n">
        <v>0.27</v>
      </c>
      <c r="E10" s="24" t="n">
        <v>0.27</v>
      </c>
      <c r="F10" s="24" t="n">
        <v>0.27</v>
      </c>
      <c r="G10" s="25" t="n">
        <v>0.27</v>
      </c>
      <c r="H10" s="25" t="n">
        <v>0.27</v>
      </c>
    </row>
    <row r="11" customFormat="false" ht="15" hidden="false" customHeight="false" outlineLevel="0" collapsed="false">
      <c r="A11" s="6" t="s">
        <v>142</v>
      </c>
      <c r="B11" s="30" t="n">
        <v>1.75</v>
      </c>
      <c r="C11" s="31" t="n">
        <v>1.75</v>
      </c>
      <c r="D11" s="31" t="n">
        <v>1.75</v>
      </c>
      <c r="E11" s="32" t="n">
        <v>1.75</v>
      </c>
      <c r="F11" s="32" t="n">
        <v>1.75</v>
      </c>
      <c r="G11" s="33" t="n">
        <v>1.75</v>
      </c>
      <c r="H11" s="33" t="n">
        <v>1.75</v>
      </c>
    </row>
    <row r="12" customFormat="false" ht="15" hidden="false" customHeight="false" outlineLevel="0" collapsed="false">
      <c r="A12" s="6" t="s">
        <v>143</v>
      </c>
      <c r="B12" s="34" t="n">
        <v>1.0158</v>
      </c>
      <c r="C12" s="35" t="n">
        <v>1.0158</v>
      </c>
      <c r="D12" s="35" t="n">
        <v>1.0158</v>
      </c>
      <c r="E12" s="36" t="n">
        <v>1.0158</v>
      </c>
      <c r="F12" s="36" t="n">
        <v>1.0158</v>
      </c>
      <c r="G12" s="37" t="n">
        <v>1.0158</v>
      </c>
      <c r="H12" s="37" t="n">
        <v>1.0158</v>
      </c>
    </row>
    <row r="13" customFormat="false" ht="15" hidden="false" customHeight="false" outlineLevel="0" collapsed="false">
      <c r="A13" s="6" t="s">
        <v>144</v>
      </c>
      <c r="B13" s="38" t="n">
        <v>539.8</v>
      </c>
      <c r="C13" s="39" t="n">
        <v>539.8</v>
      </c>
      <c r="D13" s="39" t="n">
        <v>539.8</v>
      </c>
      <c r="E13" s="40" t="n">
        <v>539.8</v>
      </c>
      <c r="F13" s="40" t="n">
        <v>539.8</v>
      </c>
      <c r="G13" s="41" t="n">
        <v>539.8</v>
      </c>
      <c r="H13" s="41" t="n">
        <v>539.8</v>
      </c>
    </row>
    <row r="14" customFormat="false" ht="15" hidden="false" customHeight="false" outlineLevel="0" collapsed="false">
      <c r="A14" s="6" t="s">
        <v>145</v>
      </c>
      <c r="B14" s="22" t="n">
        <v>0.477</v>
      </c>
      <c r="C14" s="23" t="n">
        <v>0.35</v>
      </c>
      <c r="D14" s="23" t="n">
        <v>0.3</v>
      </c>
      <c r="E14" s="24" t="n">
        <v>0.32</v>
      </c>
      <c r="F14" s="24" t="n">
        <v>0.28</v>
      </c>
      <c r="G14" s="25" t="n">
        <v>0.3</v>
      </c>
      <c r="H14" s="25" t="n">
        <v>0.27</v>
      </c>
    </row>
    <row r="16" customFormat="false" ht="15" hidden="false" customHeight="false" outlineLevel="0" collapsed="false">
      <c r="A16" s="4" t="s">
        <v>146</v>
      </c>
    </row>
    <row r="17" customFormat="false" ht="15" hidden="false" customHeight="false" outlineLevel="0" collapsed="false">
      <c r="A17" s="6" t="s">
        <v>147</v>
      </c>
      <c r="B17" s="42" t="n">
        <v>78</v>
      </c>
      <c r="C17" s="43" t="n">
        <v>72</v>
      </c>
      <c r="D17" s="43" t="n">
        <v>72</v>
      </c>
      <c r="E17" s="44" t="n">
        <v>80</v>
      </c>
      <c r="F17" s="44" t="n">
        <v>78</v>
      </c>
      <c r="G17" s="45" t="n">
        <v>100</v>
      </c>
      <c r="H17" s="45" t="n">
        <v>100</v>
      </c>
    </row>
    <row r="18" customFormat="false" ht="15" hidden="false" customHeight="false" outlineLevel="0" collapsed="false">
      <c r="A18" s="6" t="s">
        <v>148</v>
      </c>
      <c r="B18" s="46" t="n">
        <v>18.4</v>
      </c>
      <c r="C18" s="47" t="n">
        <v>16</v>
      </c>
      <c r="D18" s="47" t="n">
        <v>15.8</v>
      </c>
      <c r="E18" s="48" t="n">
        <v>16.5</v>
      </c>
      <c r="F18" s="48" t="n">
        <v>16.8</v>
      </c>
      <c r="G18" s="49" t="n">
        <v>17.5</v>
      </c>
      <c r="H18" s="49" t="n">
        <v>18</v>
      </c>
    </row>
    <row r="19" customFormat="false" ht="15" hidden="false" customHeight="false" outlineLevel="0" collapsed="false">
      <c r="A19" s="6" t="s">
        <v>149</v>
      </c>
      <c r="B19" s="22" t="n">
        <v>0.07</v>
      </c>
      <c r="C19" s="23" t="n">
        <v>0.0667</v>
      </c>
      <c r="D19" s="23" t="n">
        <v>0.0625</v>
      </c>
      <c r="E19" s="24" t="n">
        <v>0.07</v>
      </c>
      <c r="F19" s="24" t="n">
        <v>0.0675</v>
      </c>
      <c r="G19" s="25" t="n">
        <v>0.0817</v>
      </c>
      <c r="H19" s="25" t="n">
        <v>0.0817</v>
      </c>
    </row>
    <row r="20" customFormat="false" ht="15" hidden="false" customHeight="false" outlineLevel="0" collapsed="false">
      <c r="A20" s="6" t="s">
        <v>150</v>
      </c>
      <c r="B20" s="50" t="n">
        <v>28.06</v>
      </c>
      <c r="C20" s="51" t="n">
        <v>25.5</v>
      </c>
      <c r="D20" s="51" t="n">
        <v>24.5</v>
      </c>
      <c r="E20" s="52" t="n">
        <v>27</v>
      </c>
      <c r="F20" s="52" t="n">
        <v>27</v>
      </c>
      <c r="G20" s="53" t="n">
        <v>29.5</v>
      </c>
      <c r="H20" s="53" t="n">
        <v>30.5</v>
      </c>
    </row>
    <row r="22" customFormat="false" ht="15" hidden="false" customHeight="false" outlineLevel="0" collapsed="false">
      <c r="A22" s="4" t="s">
        <v>151</v>
      </c>
    </row>
    <row r="23" customFormat="false" ht="15" hidden="false" customHeight="false" outlineLevel="0" collapsed="false">
      <c r="A23" s="5" t="s">
        <v>152</v>
      </c>
    </row>
    <row r="24" customFormat="false" ht="15" hidden="false" customHeight="false" outlineLevel="0" collapsed="false">
      <c r="A24" s="5" t="s">
        <v>153</v>
      </c>
    </row>
    <row r="25" customFormat="false" ht="15" hidden="false" customHeight="false" outlineLevel="0" collapsed="false">
      <c r="A25" s="5" t="s">
        <v>154</v>
      </c>
    </row>
    <row r="26" customFormat="false" ht="15" hidden="false" customHeight="false" outlineLevel="0" collapsed="false">
      <c r="A26" s="5" t="s">
        <v>155</v>
      </c>
    </row>
    <row r="27" customFormat="false" ht="15" hidden="false" customHeight="false" outlineLevel="0" collapsed="false">
      <c r="A27" s="5" t="s">
        <v>156</v>
      </c>
    </row>
    <row r="28" customFormat="false" ht="15" hidden="false" customHeight="false" outlineLevel="0" collapsed="false">
      <c r="A28" s="5" t="s">
        <v>157</v>
      </c>
    </row>
    <row r="29" customFormat="false" ht="15" hidden="false" customHeight="false" outlineLevel="0" collapsed="false">
      <c r="A29" s="5" t="s">
        <v>158</v>
      </c>
    </row>
    <row r="30" customFormat="false" ht="15" hidden="false" customHeight="false" outlineLevel="0" collapsed="false">
      <c r="A30" s="5" t="s">
        <v>159</v>
      </c>
    </row>
    <row r="31" customFormat="false" ht="15" hidden="false" customHeight="false" outlineLevel="0" collapsed="false">
      <c r="A31" s="5" t="s">
        <v>160</v>
      </c>
    </row>
  </sheetData>
  <mergeCells count="3">
    <mergeCell ref="C3:D3"/>
    <mergeCell ref="E3:F3"/>
    <mergeCell ref="G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8" min="3" style="0" width="11"/>
  </cols>
  <sheetData>
    <row r="1" customFormat="false" ht="17.35" hidden="false" customHeight="false" outlineLevel="0" collapsed="false">
      <c r="A1" s="1" t="s">
        <v>161</v>
      </c>
    </row>
    <row r="2" customFormat="false" ht="15" hidden="false" customHeight="false" outlineLevel="0" collapsed="false">
      <c r="A2" s="3" t="s">
        <v>162</v>
      </c>
    </row>
    <row r="3" customFormat="false" ht="15" hidden="false" customHeight="false" outlineLevel="0" collapsed="false">
      <c r="B3" s="9" t="s">
        <v>129</v>
      </c>
      <c r="C3" s="54" t="s">
        <v>130</v>
      </c>
      <c r="D3" s="54"/>
      <c r="E3" s="55" t="s">
        <v>131</v>
      </c>
      <c r="F3" s="55"/>
      <c r="G3" s="56" t="s">
        <v>132</v>
      </c>
      <c r="H3" s="56"/>
    </row>
    <row r="4" customFormat="false" ht="15" hidden="false" customHeight="false" outlineLevel="0" collapsed="false">
      <c r="B4" s="18" t="s">
        <v>133</v>
      </c>
      <c r="C4" s="19" t="s">
        <v>134</v>
      </c>
      <c r="D4" s="19" t="s">
        <v>135</v>
      </c>
      <c r="E4" s="20" t="s">
        <v>134</v>
      </c>
      <c r="F4" s="20" t="s">
        <v>135</v>
      </c>
      <c r="G4" s="21" t="s">
        <v>134</v>
      </c>
      <c r="H4" s="21" t="s">
        <v>135</v>
      </c>
    </row>
    <row r="5" customFormat="false" ht="15" hidden="false" customHeight="false" outlineLevel="0" collapsed="false">
      <c r="A5" s="6" t="s">
        <v>163</v>
      </c>
      <c r="B5" s="57" t="n">
        <f aca="false">Assumptions!B5+Assumptions!B6</f>
        <v>0.089</v>
      </c>
      <c r="C5" s="58" t="n">
        <f aca="false">Assumptions!C5+Assumptions!C6</f>
        <v>0.07</v>
      </c>
      <c r="D5" s="58" t="n">
        <f aca="false">Assumptions!D5+Assumptions!D6</f>
        <v>0.07</v>
      </c>
      <c r="E5" s="59" t="n">
        <f aca="false">Assumptions!E5+Assumptions!E6</f>
        <v>0.065</v>
      </c>
      <c r="F5" s="59" t="n">
        <f aca="false">Assumptions!F5+Assumptions!F6</f>
        <v>0.065</v>
      </c>
      <c r="G5" s="60" t="n">
        <f aca="false">Assumptions!G5+Assumptions!G6</f>
        <v>0.07</v>
      </c>
      <c r="H5" s="60" t="n">
        <f aca="false">Assumptions!H5+Assumptions!H6</f>
        <v>0.065</v>
      </c>
    </row>
    <row r="6" customFormat="false" ht="15" hidden="false" customHeight="false" outlineLevel="0" collapsed="false">
      <c r="A6" s="4" t="s">
        <v>164</v>
      </c>
      <c r="B6" s="26" t="n">
        <v>252700</v>
      </c>
      <c r="C6" s="61" t="n">
        <f aca="false">$B6*(1+C5)</f>
        <v>270389</v>
      </c>
      <c r="D6" s="61" t="n">
        <f aca="false">C6*(1+D5)</f>
        <v>289316.23</v>
      </c>
      <c r="E6" s="62" t="n">
        <f aca="false">$B6*(1+E5)</f>
        <v>269125.5</v>
      </c>
      <c r="F6" s="62" t="n">
        <f aca="false">E6*(1+F5)</f>
        <v>286618.6575</v>
      </c>
      <c r="G6" s="63" t="n">
        <f aca="false">$B6*(1+G5)</f>
        <v>270389</v>
      </c>
      <c r="H6" s="63" t="n">
        <f aca="false">G6*(1+H5)</f>
        <v>287964.285</v>
      </c>
    </row>
    <row r="7" customFormat="false" ht="15" hidden="false" customHeight="false" outlineLevel="0" collapsed="false">
      <c r="A7" s="6" t="s">
        <v>165</v>
      </c>
      <c r="B7" s="64" t="n">
        <f aca="false">B6*Assumptions!B12</f>
        <v>256692.66</v>
      </c>
      <c r="C7" s="65" t="n">
        <f aca="false">C6*Assumptions!C12</f>
        <v>274661.1462</v>
      </c>
      <c r="D7" s="65" t="n">
        <f aca="false">D6*Assumptions!D12</f>
        <v>293887.426434</v>
      </c>
      <c r="E7" s="66" t="n">
        <f aca="false">E6*Assumptions!E12</f>
        <v>273377.6829</v>
      </c>
      <c r="F7" s="66" t="n">
        <f aca="false">F6*Assumptions!F12</f>
        <v>291147.2322885</v>
      </c>
      <c r="G7" s="67" t="n">
        <f aca="false">G6*Assumptions!G12</f>
        <v>274661.1462</v>
      </c>
      <c r="H7" s="67" t="n">
        <f aca="false">H6*Assumptions!H12</f>
        <v>292514.120703</v>
      </c>
    </row>
    <row r="8" customFormat="false" ht="15" hidden="false" customHeight="false" outlineLevel="0" collapsed="false">
      <c r="A8" s="6" t="s">
        <v>166</v>
      </c>
      <c r="B8" s="64" t="n">
        <f aca="false">B6*Assumptions!B7</f>
        <v>61406.1</v>
      </c>
      <c r="C8" s="65" t="n">
        <f aca="false">C6*Assumptions!C7</f>
        <v>65704.527</v>
      </c>
      <c r="D8" s="65" t="n">
        <f aca="false">D6*Assumptions!D7</f>
        <v>70593.16012</v>
      </c>
      <c r="E8" s="66" t="n">
        <f aca="false">E6*Assumptions!E7</f>
        <v>65128.371</v>
      </c>
      <c r="F8" s="66" t="n">
        <f aca="false">F6*Assumptions!F7</f>
        <v>69361.715115</v>
      </c>
      <c r="G8" s="67" t="n">
        <f aca="false">G6*Assumptions!G7</f>
        <v>64893.36</v>
      </c>
      <c r="H8" s="67" t="n">
        <f aca="false">H6*Assumptions!H7</f>
        <v>68823.464115</v>
      </c>
    </row>
    <row r="9" customFormat="false" ht="15" hidden="false" customHeight="false" outlineLevel="0" collapsed="false">
      <c r="A9" s="6" t="s">
        <v>138</v>
      </c>
      <c r="B9" s="57" t="n">
        <f aca="false">Assumptions!B7</f>
        <v>0.243</v>
      </c>
      <c r="C9" s="58" t="n">
        <f aca="false">Assumptions!C7</f>
        <v>0.243</v>
      </c>
      <c r="D9" s="58" t="n">
        <f aca="false">Assumptions!D7</f>
        <v>0.244</v>
      </c>
      <c r="E9" s="59" t="n">
        <f aca="false">Assumptions!E7</f>
        <v>0.242</v>
      </c>
      <c r="F9" s="59" t="n">
        <f aca="false">Assumptions!F7</f>
        <v>0.242</v>
      </c>
      <c r="G9" s="60" t="n">
        <f aca="false">Assumptions!G7</f>
        <v>0.24</v>
      </c>
      <c r="H9" s="60" t="n">
        <f aca="false">Assumptions!H7</f>
        <v>0.239</v>
      </c>
    </row>
    <row r="10" customFormat="false" ht="15" hidden="false" customHeight="false" outlineLevel="0" collapsed="false">
      <c r="A10" s="4" t="s">
        <v>167</v>
      </c>
      <c r="B10" s="68" t="n">
        <f aca="false">B6*Assumptions!B8</f>
        <v>14909.3</v>
      </c>
      <c r="C10" s="61" t="n">
        <f aca="false">C6*Assumptions!C8</f>
        <v>15952.951</v>
      </c>
      <c r="D10" s="61" t="n">
        <f aca="false">D6*Assumptions!D8</f>
        <v>17214.315685</v>
      </c>
      <c r="E10" s="62" t="n">
        <f aca="false">E6*Assumptions!E8</f>
        <v>15743.84175</v>
      </c>
      <c r="F10" s="62" t="n">
        <f aca="false">F6*Assumptions!F8</f>
        <v>16853.177061</v>
      </c>
      <c r="G10" s="63" t="n">
        <f aca="false">G6*Assumptions!G8</f>
        <v>15682.562</v>
      </c>
      <c r="H10" s="63" t="n">
        <f aca="false">H6*Assumptions!H8</f>
        <v>16471.557102</v>
      </c>
    </row>
    <row r="11" customFormat="false" ht="15" hidden="false" customHeight="false" outlineLevel="0" collapsed="false">
      <c r="A11" s="6" t="s">
        <v>139</v>
      </c>
      <c r="B11" s="57" t="n">
        <f aca="false">Assumptions!B8</f>
        <v>0.059</v>
      </c>
      <c r="C11" s="58" t="n">
        <f aca="false">Assumptions!C8</f>
        <v>0.059</v>
      </c>
      <c r="D11" s="58" t="n">
        <f aca="false">Assumptions!D8</f>
        <v>0.0595</v>
      </c>
      <c r="E11" s="59" t="n">
        <f aca="false">Assumptions!E8</f>
        <v>0.0585</v>
      </c>
      <c r="F11" s="59" t="n">
        <f aca="false">Assumptions!F8</f>
        <v>0.0588</v>
      </c>
      <c r="G11" s="60" t="n">
        <f aca="false">Assumptions!G8</f>
        <v>0.058</v>
      </c>
      <c r="H11" s="60" t="n">
        <f aca="false">Assumptions!H8</f>
        <v>0.0572</v>
      </c>
    </row>
    <row r="12" customFormat="false" ht="15" hidden="false" customHeight="false" outlineLevel="0" collapsed="false">
      <c r="A12" s="6" t="s">
        <v>168</v>
      </c>
      <c r="B12" s="69" t="n">
        <f aca="false">-Assumptions!B9</f>
        <v>-4800</v>
      </c>
      <c r="C12" s="70" t="n">
        <f aca="false">-Assumptions!C9</f>
        <v>-4700</v>
      </c>
      <c r="D12" s="70" t="n">
        <f aca="false">-Assumptions!D9</f>
        <v>-4600</v>
      </c>
      <c r="E12" s="71" t="n">
        <f aca="false">-Assumptions!E9</f>
        <v>-4950</v>
      </c>
      <c r="F12" s="71" t="n">
        <f aca="false">-Assumptions!F9</f>
        <v>-4900</v>
      </c>
      <c r="G12" s="72" t="n">
        <f aca="false">-Assumptions!G9</f>
        <v>-5000</v>
      </c>
      <c r="H12" s="72" t="n">
        <f aca="false">-Assumptions!H9</f>
        <v>-5300</v>
      </c>
    </row>
    <row r="13" customFormat="false" ht="15" hidden="false" customHeight="false" outlineLevel="0" collapsed="false">
      <c r="A13" s="6" t="s">
        <v>169</v>
      </c>
      <c r="B13" s="64" t="n">
        <f aca="false">B10+B12</f>
        <v>10109.3</v>
      </c>
      <c r="C13" s="65" t="n">
        <f aca="false">C10+C12</f>
        <v>11252.951</v>
      </c>
      <c r="D13" s="65" t="n">
        <f aca="false">D10+D12</f>
        <v>12614.315685</v>
      </c>
      <c r="E13" s="66" t="n">
        <f aca="false">E10+E12</f>
        <v>10793.84175</v>
      </c>
      <c r="F13" s="66" t="n">
        <f aca="false">F10+F12</f>
        <v>11953.177061</v>
      </c>
      <c r="G13" s="67" t="n">
        <f aca="false">G10+G12</f>
        <v>10682.562</v>
      </c>
      <c r="H13" s="67" t="n">
        <f aca="false">H10+H12</f>
        <v>11171.557102</v>
      </c>
    </row>
    <row r="14" customFormat="false" ht="15" hidden="false" customHeight="false" outlineLevel="0" collapsed="false">
      <c r="A14" s="6" t="s">
        <v>170</v>
      </c>
      <c r="B14" s="64" t="n">
        <f aca="false">-B13*Assumptions!B10</f>
        <v>-2729.511</v>
      </c>
      <c r="C14" s="65" t="n">
        <f aca="false">-C13*Assumptions!C10</f>
        <v>-3038.29677</v>
      </c>
      <c r="D14" s="65" t="n">
        <f aca="false">-D13*Assumptions!D10</f>
        <v>-3405.86523495</v>
      </c>
      <c r="E14" s="66" t="n">
        <f aca="false">-E13*Assumptions!E10</f>
        <v>-2914.3372725</v>
      </c>
      <c r="F14" s="66" t="n">
        <f aca="false">-F13*Assumptions!F10</f>
        <v>-3227.35780647</v>
      </c>
      <c r="G14" s="67" t="n">
        <f aca="false">-G13*Assumptions!G10</f>
        <v>-2884.29174</v>
      </c>
      <c r="H14" s="67" t="n">
        <f aca="false">-H13*Assumptions!H10</f>
        <v>-3016.32041754</v>
      </c>
    </row>
    <row r="15" customFormat="false" ht="15" hidden="false" customHeight="false" outlineLevel="0" collapsed="false">
      <c r="A15" s="4" t="s">
        <v>171</v>
      </c>
      <c r="B15" s="68" t="n">
        <f aca="false">B13+B14</f>
        <v>7379.789</v>
      </c>
      <c r="C15" s="61" t="n">
        <f aca="false">C13+C14</f>
        <v>8214.65423</v>
      </c>
      <c r="D15" s="61" t="n">
        <f aca="false">D13+D14</f>
        <v>9208.45045005</v>
      </c>
      <c r="E15" s="62" t="n">
        <f aca="false">E13+E14</f>
        <v>7879.5044775</v>
      </c>
      <c r="F15" s="62" t="n">
        <f aca="false">F13+F14</f>
        <v>8725.81925453</v>
      </c>
      <c r="G15" s="63" t="n">
        <f aca="false">G13+G14</f>
        <v>7798.27026</v>
      </c>
      <c r="H15" s="63" t="n">
        <f aca="false">H13+H14</f>
        <v>8155.23668446</v>
      </c>
    </row>
    <row r="16" customFormat="false" ht="15" hidden="false" customHeight="false" outlineLevel="0" collapsed="false">
      <c r="A16" s="6" t="s">
        <v>172</v>
      </c>
      <c r="B16" s="73" t="n">
        <f aca="false">Assumptions!B13</f>
        <v>539.8</v>
      </c>
      <c r="C16" s="74" t="n">
        <f aca="false">Assumptions!C13</f>
        <v>539.8</v>
      </c>
      <c r="D16" s="74" t="n">
        <f aca="false">Assumptions!D13</f>
        <v>539.8</v>
      </c>
      <c r="E16" s="75" t="n">
        <f aca="false">Assumptions!E13</f>
        <v>539.8</v>
      </c>
      <c r="F16" s="75" t="n">
        <f aca="false">Assumptions!F13</f>
        <v>539.8</v>
      </c>
      <c r="G16" s="76" t="n">
        <f aca="false">Assumptions!G13</f>
        <v>539.8</v>
      </c>
      <c r="H16" s="76" t="n">
        <f aca="false">Assumptions!H13</f>
        <v>539.8</v>
      </c>
    </row>
    <row r="17" customFormat="false" ht="15" hidden="false" customHeight="false" outlineLevel="0" collapsed="false">
      <c r="A17" s="4" t="s">
        <v>173</v>
      </c>
      <c r="B17" s="77" t="n">
        <f aca="false">B15/B16*100</f>
        <v>1367.13393849574</v>
      </c>
      <c r="C17" s="78" t="n">
        <f aca="false">C15/C16*100</f>
        <v>1521.79589292331</v>
      </c>
      <c r="D17" s="78" t="n">
        <f aca="false">D15/D16*100</f>
        <v>1705.90041683031</v>
      </c>
      <c r="E17" s="79" t="n">
        <f aca="false">E15/E16*100</f>
        <v>1459.70812847351</v>
      </c>
      <c r="F17" s="79" t="n">
        <f aca="false">F15/F16*100</f>
        <v>1616.49115497036</v>
      </c>
      <c r="G17" s="80" t="n">
        <f aca="false">G15/G16*100</f>
        <v>1444.65918117821</v>
      </c>
      <c r="H17" s="80" t="n">
        <f aca="false">H15/H16*100</f>
        <v>1510.78856696184</v>
      </c>
    </row>
    <row r="18" customFormat="false" ht="15" hidden="false" customHeight="false" outlineLevel="0" collapsed="false">
      <c r="A18" s="6" t="s">
        <v>174</v>
      </c>
      <c r="B18" s="81" t="s">
        <v>57</v>
      </c>
      <c r="C18" s="82" t="n">
        <f aca="false">C17/$B17-1</f>
        <v>0.113128604354407</v>
      </c>
      <c r="D18" s="82" t="n">
        <f aca="false">D17/C17-1</f>
        <v>0.120978460227899</v>
      </c>
      <c r="E18" s="83" t="n">
        <f aca="false">E17/$B17-1</f>
        <v>0.0677140603206954</v>
      </c>
      <c r="F18" s="83" t="n">
        <f aca="false">F17/E17-1</f>
        <v>0.107407106556847</v>
      </c>
      <c r="G18" s="84" t="n">
        <f aca="false">G17/$B17-1</f>
        <v>0.056706399058293</v>
      </c>
      <c r="H18" s="84" t="n">
        <f aca="false">H17/G17-1</f>
        <v>0.0457750773643999</v>
      </c>
    </row>
    <row r="19" customFormat="false" ht="15" hidden="false" customHeight="false" outlineLevel="0" collapsed="false">
      <c r="A19" s="6" t="s">
        <v>175</v>
      </c>
      <c r="B19" s="85" t="n">
        <f aca="false">B17/Assumptions!B11</f>
        <v>781.219393426137</v>
      </c>
      <c r="C19" s="86" t="n">
        <f aca="false">C17/Assumptions!C11</f>
        <v>869.597653099031</v>
      </c>
      <c r="D19" s="86" t="n">
        <f aca="false">D17/Assumptions!D11</f>
        <v>974.800238188747</v>
      </c>
      <c r="E19" s="87" t="n">
        <f aca="false">E17/Assumptions!E11</f>
        <v>834.118930556291</v>
      </c>
      <c r="F19" s="87" t="n">
        <f aca="false">F17/Assumptions!F11</f>
        <v>923.709231411634</v>
      </c>
      <c r="G19" s="88" t="n">
        <f aca="false">G17/Assumptions!G11</f>
        <v>825.519532101837</v>
      </c>
      <c r="H19" s="88" t="n">
        <f aca="false">H17/Assumptions!H11</f>
        <v>863.307752549621</v>
      </c>
    </row>
    <row r="21" customFormat="false" ht="15" hidden="false" customHeight="false" outlineLevel="0" collapsed="false">
      <c r="A21" s="6" t="s">
        <v>176</v>
      </c>
      <c r="B21" s="89" t="n">
        <v>18.9</v>
      </c>
      <c r="C21" s="90" t="n">
        <f aca="false">$B21*(1+Assumptions!C14)</f>
        <v>25.515</v>
      </c>
      <c r="D21" s="90" t="n">
        <f aca="false">C21*(1+Assumptions!D14)</f>
        <v>33.1695</v>
      </c>
      <c r="E21" s="91" t="n">
        <f aca="false">$B21*(1+Assumptions!E14)</f>
        <v>24.948</v>
      </c>
      <c r="F21" s="91" t="n">
        <f aca="false">E21*(1+Assumptions!F14)</f>
        <v>31.93344</v>
      </c>
      <c r="G21" s="92" t="n">
        <f aca="false">$B21*(1+Assumptions!G14)</f>
        <v>24.57</v>
      </c>
      <c r="H21" s="92" t="n">
        <f aca="false">G21*(1+Assumptions!H14)</f>
        <v>31.2039</v>
      </c>
    </row>
    <row r="23" customFormat="false" ht="15" hidden="false" customHeight="false" outlineLevel="0" collapsed="false">
      <c r="A23" s="5" t="s">
        <v>177</v>
      </c>
    </row>
    <row r="24" customFormat="false" ht="15" hidden="false" customHeight="false" outlineLevel="0" collapsed="false">
      <c r="A24" s="5" t="s">
        <v>178</v>
      </c>
    </row>
    <row r="40" customFormat="false" ht="15" hidden="false" customHeight="false" outlineLevel="0" collapsed="false">
      <c r="A40" s="4" t="s">
        <v>179</v>
      </c>
      <c r="B40" s="93" t="s">
        <v>129</v>
      </c>
      <c r="C40" s="93" t="s">
        <v>180</v>
      </c>
      <c r="D40" s="93" t="s">
        <v>181</v>
      </c>
    </row>
    <row r="41" customFormat="false" ht="15" hidden="false" customHeight="false" outlineLevel="0" collapsed="false">
      <c r="A41" s="6" t="s">
        <v>182</v>
      </c>
      <c r="B41" s="94" t="n">
        <f aca="false">B17</f>
        <v>1367.13393849574</v>
      </c>
      <c r="C41" s="94" t="n">
        <f aca="false">C17</f>
        <v>1521.79589292331</v>
      </c>
      <c r="D41" s="94" t="n">
        <f aca="false">D17</f>
        <v>1705.90041683031</v>
      </c>
    </row>
    <row r="42" customFormat="false" ht="15" hidden="false" customHeight="false" outlineLevel="0" collapsed="false">
      <c r="A42" s="6" t="s">
        <v>183</v>
      </c>
      <c r="B42" s="94" t="n">
        <f aca="false">B17</f>
        <v>1367.13393849574</v>
      </c>
      <c r="C42" s="94" t="n">
        <f aca="false">E17</f>
        <v>1459.70812847351</v>
      </c>
      <c r="D42" s="94" t="n">
        <f aca="false">F17</f>
        <v>1616.49115497036</v>
      </c>
    </row>
    <row r="43" customFormat="false" ht="15" hidden="false" customHeight="false" outlineLevel="0" collapsed="false">
      <c r="A43" s="6" t="s">
        <v>184</v>
      </c>
      <c r="B43" s="94" t="n">
        <f aca="false">B17</f>
        <v>1367.13393849574</v>
      </c>
      <c r="C43" s="94" t="n">
        <f aca="false">G17</f>
        <v>1444.65918117821</v>
      </c>
      <c r="D43" s="94" t="n">
        <f aca="false">H17</f>
        <v>1510.78856696184</v>
      </c>
    </row>
    <row r="45" customFormat="false" ht="15" hidden="false" customHeight="false" outlineLevel="0" collapsed="false">
      <c r="A45" s="4" t="s">
        <v>185</v>
      </c>
      <c r="B45" s="93" t="s">
        <v>129</v>
      </c>
      <c r="C45" s="93" t="s">
        <v>180</v>
      </c>
      <c r="D45" s="93" t="s">
        <v>181</v>
      </c>
    </row>
    <row r="46" customFormat="false" ht="15" hidden="false" customHeight="false" outlineLevel="0" collapsed="false">
      <c r="A46" s="6" t="s">
        <v>182</v>
      </c>
      <c r="B46" s="95" t="n">
        <f aca="false">B10</f>
        <v>14909.3</v>
      </c>
      <c r="C46" s="95" t="n">
        <f aca="false">C10</f>
        <v>15952.951</v>
      </c>
      <c r="D46" s="95" t="n">
        <f aca="false">D10</f>
        <v>17214.315685</v>
      </c>
    </row>
    <row r="47" customFormat="false" ht="15" hidden="false" customHeight="false" outlineLevel="0" collapsed="false">
      <c r="A47" s="6" t="s">
        <v>183</v>
      </c>
      <c r="B47" s="95" t="n">
        <f aca="false">B10</f>
        <v>14909.3</v>
      </c>
      <c r="C47" s="95" t="n">
        <f aca="false">E10</f>
        <v>15743.84175</v>
      </c>
      <c r="D47" s="95" t="n">
        <f aca="false">F10</f>
        <v>16853.177061</v>
      </c>
    </row>
    <row r="48" customFormat="false" ht="15" hidden="false" customHeight="false" outlineLevel="0" collapsed="false">
      <c r="A48" s="6" t="s">
        <v>184</v>
      </c>
      <c r="B48" s="95" t="n">
        <f aca="false">B10</f>
        <v>14909.3</v>
      </c>
      <c r="C48" s="95" t="n">
        <f aca="false">G10</f>
        <v>15682.562</v>
      </c>
      <c r="D48" s="95" t="n">
        <f aca="false">H10</f>
        <v>16471.557102</v>
      </c>
    </row>
    <row r="50" customFormat="false" ht="15" hidden="false" customHeight="false" outlineLevel="0" collapsed="false">
      <c r="A50" s="4" t="s">
        <v>186</v>
      </c>
      <c r="B50" s="93" t="s">
        <v>129</v>
      </c>
      <c r="C50" s="93" t="s">
        <v>180</v>
      </c>
      <c r="D50" s="93" t="s">
        <v>181</v>
      </c>
    </row>
    <row r="51" customFormat="false" ht="15" hidden="false" customHeight="false" outlineLevel="0" collapsed="false">
      <c r="A51" s="6" t="s">
        <v>182</v>
      </c>
      <c r="B51" s="96" t="n">
        <f aca="false">B11</f>
        <v>0.059</v>
      </c>
      <c r="C51" s="96" t="n">
        <f aca="false">C11</f>
        <v>0.059</v>
      </c>
      <c r="D51" s="96" t="n">
        <f aca="false">D11</f>
        <v>0.0595</v>
      </c>
    </row>
    <row r="52" customFormat="false" ht="15" hidden="false" customHeight="false" outlineLevel="0" collapsed="false">
      <c r="A52" s="6" t="s">
        <v>183</v>
      </c>
      <c r="B52" s="96" t="n">
        <f aca="false">B11</f>
        <v>0.059</v>
      </c>
      <c r="C52" s="96" t="n">
        <f aca="false">E11</f>
        <v>0.0585</v>
      </c>
      <c r="D52" s="96" t="n">
        <f aca="false">F11</f>
        <v>0.0588</v>
      </c>
    </row>
    <row r="53" customFormat="false" ht="15" hidden="false" customHeight="false" outlineLevel="0" collapsed="false">
      <c r="A53" s="6" t="s">
        <v>184</v>
      </c>
      <c r="B53" s="96" t="n">
        <f aca="false">B11</f>
        <v>0.059</v>
      </c>
      <c r="C53" s="96" t="n">
        <f aca="false">G11</f>
        <v>0.058</v>
      </c>
      <c r="D53" s="96" t="n">
        <f aca="false">H11</f>
        <v>0.0572</v>
      </c>
    </row>
  </sheetData>
  <mergeCells count="3">
    <mergeCell ref="C3:D3"/>
    <mergeCell ref="E3:F3"/>
    <mergeCell ref="G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24"/>
    <col collapsed="false" customWidth="true" hidden="false" outlineLevel="0" max="4" min="4" style="0" width="44"/>
  </cols>
  <sheetData>
    <row r="2" customFormat="false" ht="17.35" hidden="false" customHeight="false" outlineLevel="0" collapsed="false">
      <c r="B2" s="1" t="s">
        <v>187</v>
      </c>
    </row>
    <row r="3" customFormat="false" ht="15" hidden="false" customHeight="false" outlineLevel="0" collapsed="false">
      <c r="B3" s="3" t="s">
        <v>188</v>
      </c>
    </row>
    <row r="5" customFormat="false" ht="15" hidden="false" customHeight="false" outlineLevel="0" collapsed="false">
      <c r="B5" s="97" t="s">
        <v>189</v>
      </c>
      <c r="C5" s="97"/>
      <c r="D5" s="97"/>
    </row>
    <row r="6" customFormat="false" ht="15" hidden="false" customHeight="false" outlineLevel="0" collapsed="false">
      <c r="B6" s="10" t="s">
        <v>190</v>
      </c>
      <c r="C6" s="11" t="s">
        <v>191</v>
      </c>
      <c r="D6" s="14" t="s">
        <v>192</v>
      </c>
    </row>
    <row r="7" customFormat="false" ht="15" hidden="false" customHeight="false" outlineLevel="0" collapsed="false">
      <c r="B7" s="10" t="s">
        <v>193</v>
      </c>
      <c r="C7" s="11" t="s">
        <v>194</v>
      </c>
      <c r="D7" s="14" t="s">
        <v>195</v>
      </c>
    </row>
    <row r="8" customFormat="false" ht="15" hidden="false" customHeight="false" outlineLevel="0" collapsed="false">
      <c r="B8" s="10" t="s">
        <v>196</v>
      </c>
      <c r="C8" s="11" t="s">
        <v>197</v>
      </c>
      <c r="D8" s="14" t="s">
        <v>198</v>
      </c>
    </row>
    <row r="9" customFormat="false" ht="15" hidden="false" customHeight="false" outlineLevel="0" collapsed="false">
      <c r="B9" s="10" t="s">
        <v>199</v>
      </c>
      <c r="C9" s="11" t="s">
        <v>200</v>
      </c>
      <c r="D9" s="14" t="s">
        <v>201</v>
      </c>
    </row>
    <row r="10" customFormat="false" ht="15" hidden="false" customHeight="false" outlineLevel="0" collapsed="false">
      <c r="B10" s="10" t="s">
        <v>202</v>
      </c>
      <c r="C10" s="11" t="s">
        <v>203</v>
      </c>
      <c r="D10" s="14" t="s">
        <v>198</v>
      </c>
    </row>
    <row r="12" customFormat="false" ht="15" hidden="false" customHeight="false" outlineLevel="0" collapsed="false">
      <c r="B12" s="97" t="s">
        <v>204</v>
      </c>
      <c r="C12" s="97"/>
      <c r="D12" s="97"/>
    </row>
    <row r="13" customFormat="false" ht="15" hidden="false" customHeight="false" outlineLevel="0" collapsed="false">
      <c r="B13" s="10" t="s">
        <v>205</v>
      </c>
      <c r="C13" s="11" t="s">
        <v>206</v>
      </c>
      <c r="D13" s="14" t="s">
        <v>207</v>
      </c>
    </row>
    <row r="14" customFormat="false" ht="15" hidden="false" customHeight="false" outlineLevel="0" collapsed="false">
      <c r="B14" s="10" t="s">
        <v>208</v>
      </c>
      <c r="C14" s="11" t="s">
        <v>209</v>
      </c>
      <c r="D14" s="14" t="s">
        <v>210</v>
      </c>
    </row>
    <row r="15" customFormat="false" ht="15" hidden="false" customHeight="false" outlineLevel="0" collapsed="false">
      <c r="B15" s="10" t="s">
        <v>211</v>
      </c>
      <c r="C15" s="11" t="s">
        <v>212</v>
      </c>
      <c r="D15" s="14" t="s">
        <v>210</v>
      </c>
    </row>
    <row r="16" customFormat="false" ht="15" hidden="false" customHeight="false" outlineLevel="0" collapsed="false">
      <c r="B16" s="10" t="s">
        <v>213</v>
      </c>
      <c r="C16" s="11" t="s">
        <v>214</v>
      </c>
      <c r="D16" s="14" t="s">
        <v>215</v>
      </c>
    </row>
    <row r="17" customFormat="false" ht="15" hidden="false" customHeight="false" outlineLevel="0" collapsed="false">
      <c r="B17" s="10" t="s">
        <v>216</v>
      </c>
      <c r="C17" s="11" t="s">
        <v>217</v>
      </c>
      <c r="D17" s="14" t="s">
        <v>218</v>
      </c>
    </row>
    <row r="18" customFormat="false" ht="15" hidden="false" customHeight="false" outlineLevel="0" collapsed="false">
      <c r="B18" s="10" t="s">
        <v>219</v>
      </c>
      <c r="C18" s="11" t="s">
        <v>220</v>
      </c>
      <c r="D18" s="14" t="s">
        <v>221</v>
      </c>
    </row>
    <row r="20" customFormat="false" ht="15" hidden="false" customHeight="false" outlineLevel="0" collapsed="false">
      <c r="B20" s="97" t="s">
        <v>222</v>
      </c>
      <c r="C20" s="97"/>
      <c r="D20" s="97"/>
    </row>
    <row r="21" customFormat="false" ht="15" hidden="false" customHeight="false" outlineLevel="0" collapsed="false">
      <c r="B21" s="10" t="s">
        <v>223</v>
      </c>
      <c r="C21" s="11" t="s">
        <v>224</v>
      </c>
      <c r="D21" s="14" t="s">
        <v>225</v>
      </c>
    </row>
    <row r="22" customFormat="false" ht="15" hidden="false" customHeight="false" outlineLevel="0" collapsed="false">
      <c r="B22" s="10" t="s">
        <v>226</v>
      </c>
      <c r="C22" s="11" t="s">
        <v>227</v>
      </c>
      <c r="D22" s="14" t="s">
        <v>228</v>
      </c>
    </row>
    <row r="23" customFormat="false" ht="15" hidden="false" customHeight="false" outlineLevel="0" collapsed="false">
      <c r="B23" s="10" t="s">
        <v>229</v>
      </c>
      <c r="C23" s="11" t="s">
        <v>230</v>
      </c>
      <c r="D23" s="14" t="s">
        <v>231</v>
      </c>
    </row>
    <row r="24" customFormat="false" ht="15" hidden="false" customHeight="false" outlineLevel="0" collapsed="false">
      <c r="B24" s="10" t="s">
        <v>232</v>
      </c>
      <c r="C24" s="11" t="s">
        <v>233</v>
      </c>
      <c r="D24" s="14" t="s">
        <v>234</v>
      </c>
    </row>
    <row r="25" customFormat="false" ht="15" hidden="false" customHeight="false" outlineLevel="0" collapsed="false">
      <c r="B25" s="10" t="s">
        <v>235</v>
      </c>
      <c r="C25" s="11" t="s">
        <v>236</v>
      </c>
      <c r="D25" s="14" t="s">
        <v>237</v>
      </c>
    </row>
    <row r="26" customFormat="false" ht="15" hidden="false" customHeight="false" outlineLevel="0" collapsed="false">
      <c r="B26" s="10" t="s">
        <v>238</v>
      </c>
      <c r="C26" s="11" t="s">
        <v>239</v>
      </c>
      <c r="D26" s="14" t="s">
        <v>240</v>
      </c>
    </row>
    <row r="28" customFormat="false" ht="15" hidden="false" customHeight="false" outlineLevel="0" collapsed="false">
      <c r="B28" s="5" t="s">
        <v>241</v>
      </c>
    </row>
    <row r="29" customFormat="false" ht="15" hidden="false" customHeight="false" outlineLevel="0" collapsed="false">
      <c r="B29" s="5" t="s">
        <v>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2026-06-17T13:18:34Z</dcterms:created>
  <dc:creator>openpyxl</dc:creator>
  <dc:description/>
  <dc:language>en-US</dc:language>
  <cp:lastModifiedBy/>
  <dcterms:modified xsi:type="dcterms:W3CDTF">2026-06-17T13:20:17Z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