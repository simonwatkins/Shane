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Sources" sheetId="1" state="visible" r:id="rId3"/>
    <sheet name="FY2025 Actuals" sheetId="2" state="visible" r:id="rId4"/>
    <sheet name="Assumptions" sheetId="3" state="visible" r:id="rId5"/>
    <sheet name="Scenario Model" sheetId="4" state="visible" r:id="rId6"/>
    <sheet name="Positive Outcom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<sst xmlns="http://schemas.openxmlformats.org/spreadsheetml/2006/main" count="197" uniqueCount="119">
  <si>
    <t xml:space="preserve">GOLD FIELDS LIMITED  (JSE: GFI  -  NYSE: GFI)</t>
  </si>
  <si>
    <t xml:space="preserve">Rand-weakness &amp; load-shedding scenario model  -  FY2026e / FY2027e</t>
  </si>
  <si>
    <t xml:space="preserve">Internal Investment-Committee working model  -  18 June 2026  -  Reporting currency: US$ (Dec year-end)</t>
  </si>
  <si>
    <t xml:space="preserve">Sector lens applied: jse-sector-mining (Basic Materials -&gt; Mining -&gt; Gold).</t>
  </si>
  <si>
    <t xml:space="preserve">HOW TO USE THIS MODEL</t>
  </si>
  <si>
    <t xml:space="preserve">- Change only the BLUE input cells on 'Assumptions'. Every output on 'Scenario Model' re-runs automatically.</t>
  </si>
  <si>
    <t xml:space="preserve">- Four scenarios run side by side for FY2026e and FY2027e: Base, Weaker Rand, Load-shedding, Combined (both shocks).</t>
  </si>
  <si>
    <t xml:space="preserve">- Gold price is held flat across the four scenarios within each year so ONLY the two South-African levers move:</t>
  </si>
  <si>
    <t xml:space="preserve">   USD/ZAR (via South Deep's ZAR cost base) and load-shedding (via South Deep volume + AISC).</t>
  </si>
  <si>
    <t xml:space="preserve">- FY2025A is the reported actual, used to calibrate the method. All forward figures are analyst estimates (e).</t>
  </si>
  <si>
    <t xml:space="preserve">THE KEY STRUCTURAL NUANCE (why group USD sensitivity is muted)</t>
  </si>
  <si>
    <t xml:space="preserve">- Gold Fields REPORTS in US dollars and sells gold at a US-dollar price, so group REVENUE does not change when the rand moves.</t>
  </si>
  <si>
    <t xml:space="preserve">- Only ONE mine - South Deep (~90.2% owned) - is in South Africa: ~14% of group attributable ounces (~320koz of 2.438Moz FY2025),</t>
  </si>
  <si>
    <t xml:space="preserve">   the ONLY asset with ZAR-denominated costs and the ONLY asset on the Eskom grid.</t>
  </si>
  <si>
    <t xml:space="preserve">- So BOTH shocks are LOCALISED to South Deep: a weaker rand LOWERS South Deep's USD cost (group AISC tailwind); load-shedding</t>
  </si>
  <si>
    <t xml:space="preserve">   RAISES South Deep cost / cuts its volume (headwind). Group-level USD EBITDA sensitivity is small vs a pure-SA miner -</t>
  </si>
  <si>
    <t xml:space="preserve">   the two SA channels are second-order next to the US-dollar gold price.</t>
  </si>
  <si>
    <t xml:space="preserve">METHODOLOGY (calibrated to FY2025 actuals)</t>
  </si>
  <si>
    <t xml:space="preserve">- Revenue (gold-only proxy, US$m) = realised gold price (US$/oz) x attributable production (Moz).</t>
  </si>
  <si>
    <t xml:space="preserve">- Group AISC margin = (realised price - AISC) x production.   EBITDA (e) = AISC margin + sustaining capex.</t>
  </si>
  <si>
    <t xml:space="preserve">- FY2025A calibration: model US$5,542m vs reported adjusted EBITDA US$5,637m = 98.3% (within 2%).</t>
  </si>
  <si>
    <t xml:space="preserve">- Post-tax all-in FCF proxy = (realised price - AIC) x production x (1 - cash tax rate).</t>
  </si>
  <si>
    <t xml:space="preserve">- Uses ATTRIBUTABLE oz (matches guidance); reported revenue is managed-basis (~3% higher), so modelled figures are ~3% conservative.</t>
  </si>
  <si>
    <t xml:space="preserve">- All forward figures are analyst estimates (e) - NOT company guidance.</t>
  </si>
  <si>
    <t xml:space="preserve">SOURCES (ref-keys used on every data tab)</t>
  </si>
  <si>
    <t xml:space="preserve">S1 - Gold Fields FY2025 reviewed results &amp; FY2026 guidance (SEC Form 6-K / results microsite, 19-20 Feb 2026).  https://www.goldfields.com/reports/q4-2026/</t>
  </si>
  <si>
    <t xml:space="preserve">S2 - Gold Fields Q1 2026 operational update (SEC Form 6-K, 7 May 2026).  https://www.sec.gov/cgi-bin/browse-edgar?action=getcompany&amp;CIK=0001172724&amp;type=6-K</t>
  </si>
  <si>
    <t xml:space="preserve">S3 - South Deep production &amp; Khanyisa 50MW solar (~8.5% of grid cost), battery/wind extension - Mining Weekly / Gold Fields IR.  https://www.miningweekly.com/</t>
  </si>
  <si>
    <t xml:space="preserve">S4 - Gold US$4,301/oz (18 Jun 2026); USD/ZAR ~16.2 (17 Jun 2026) - TradingEconomics (searched, may be delayed).  https://tradingeconomics.com/commodity/gold</t>
  </si>
  <si>
    <t xml:space="preserve">S5 - Load-shedding suspended 341+ days; Eskom winter-2026 outlook none - IOL / Eskom.  https://www.iol.co.za/</t>
  </si>
  <si>
    <t xml:space="preserve">S6 - Internal: Gold Fields FY2025 calibrated scenario method - companies/gold-fields/analyst-notes/Gold_Fields_GFI_Scenario_Model_Jun2026.xlsx</t>
  </si>
  <si>
    <t xml:space="preserve">(e) = analyst estimate.   COVERAGE GAP: FY2025 AFS PDF + results-presentation PDF (originals) not on disk - egress/harness blocked; actuals verified vs S1 microsite.</t>
  </si>
  <si>
    <t xml:space="preserve">For informational purposes only — not investment advice; prepared by internal research from public disclosures. Figures reported in ZAR unless stated. Reviewed vs audited status is noted per company. Forward figures and scenario levels are analyst estimates (e), not company guidance. Share/commodity prices via web search may be delayed — there is no live JSE feed here. Confirm the fund's dealing-period status before acting.</t>
  </si>
  <si>
    <t xml:space="preserve">GOLD FIELDS - FY2025 REPORTED ACTUALS (US$m unless stated)</t>
  </si>
  <si>
    <t xml:space="preserve">Source: S1 - Gold Fields FY2025 reviewed results, SEC Form 6-K, 19-20 Feb 2026. SACRED ACTUALS (verbatim).</t>
  </si>
  <si>
    <t xml:space="preserve">Metric</t>
  </si>
  <si>
    <t xml:space="preserve">FY2025</t>
  </si>
  <si>
    <t xml:space="preserve">FY2024</t>
  </si>
  <si>
    <t xml:space="preserve">% change</t>
  </si>
  <si>
    <t xml:space="preserve">Source</t>
  </si>
  <si>
    <t xml:space="preserve">Revenue (managed basis)</t>
  </si>
  <si>
    <t xml:space="preserve">S1</t>
  </si>
  <si>
    <t xml:space="preserve">Revenue (gold-only proxy = price x oz)</t>
  </si>
  <si>
    <t xml:space="preserve">n/a</t>
  </si>
  <si>
    <t xml:space="preserve">-</t>
  </si>
  <si>
    <t xml:space="preserve">Average realised gold price (US$/oz)</t>
  </si>
  <si>
    <t xml:space="preserve">Adjusted EBITDA</t>
  </si>
  <si>
    <t xml:space="preserve">Attributable profit (incl ~US$808m Gruyere one-off)</t>
  </si>
  <si>
    <t xml:space="preserve">Normalised profit</t>
  </si>
  <si>
    <t xml:space="preserve">Attributable production (Moz)</t>
  </si>
  <si>
    <t xml:space="preserve">Group AISC (US$/oz)</t>
  </si>
  <si>
    <t xml:space="preserve">AIC - all-in cost (US$/oz)</t>
  </si>
  <si>
    <t xml:space="preserve">Adjusted free cash flow</t>
  </si>
  <si>
    <t xml:space="preserve">Sustaining capex</t>
  </si>
  <si>
    <t xml:space="preserve">Net debt (incl leases)</t>
  </si>
  <si>
    <t xml:space="preserve">Net debt / adj EBITDA (x)</t>
  </si>
  <si>
    <t xml:space="preserve">USD/ZAR (period average)</t>
  </si>
  <si>
    <t xml:space="preserve">Total ordinary dividend (ZAR/share)</t>
  </si>
  <si>
    <t xml:space="preserve">FY2024 dividend indicative R11.00. FY2025 also paid ~R4.50 special dividend; total distributions ~US$1.7bn (~54% adj FCF). Gold-only proxy excludes Cerro Corona by-product credits.</t>
  </si>
  <si>
    <t xml:space="preserve">GOLD FIELDS - SCENARIO ASSUMPTIONS  (edit BLUE cells)</t>
  </si>
  <si>
    <t xml:space="preserve">FY2025A = reported actual (S1, calibration). Forward figures are analyst estimates (e). Gold held flat across scenarios to isolate the two SA levers.</t>
  </si>
  <si>
    <t xml:space="preserve">FY2025A</t>
  </si>
  <si>
    <t xml:space="preserve">Base</t>
  </si>
  <si>
    <t xml:space="preserve">Weaker Rand</t>
  </si>
  <si>
    <t xml:space="preserve">Load-shedding</t>
  </si>
  <si>
    <t xml:space="preserve">Combined</t>
  </si>
  <si>
    <t xml:space="preserve">Driver (blue = scenario input)</t>
  </si>
  <si>
    <t xml:space="preserve">2025A</t>
  </si>
  <si>
    <t xml:space="preserve">2026e</t>
  </si>
  <si>
    <t xml:space="preserve">2027e</t>
  </si>
  <si>
    <t xml:space="preserve">Realised gold price (US$/oz)</t>
  </si>
  <si>
    <t xml:space="preserve">Group AISC - all-in sustaining (US$/oz)</t>
  </si>
  <si>
    <t xml:space="preserve">Sustaining capex (US$m)</t>
  </si>
  <si>
    <t xml:space="preserve">Effective cash tax rate (%)</t>
  </si>
  <si>
    <t xml:space="preserve">Shareholder payout (% of FCF proxy)</t>
  </si>
  <si>
    <t xml:space="preserve">SCENARIO DRIVERS (estimates, e):</t>
  </si>
  <si>
    <t xml:space="preserve">Weaker Rand: USD/ZAR to ~21 (2026e)/~22 (2027e), ~25-35% weaker than ~16.2 spot. South Deep's ZAR cost base translates to fewer USD =&gt; group AISC eases ~US$40/oz (e). Group revenue unchanged (USD). Net USD tailwind ~+US$100m EBITDA; rand-translated EBITDA/dividend +25-30%.</t>
  </si>
  <si>
    <t xml:space="preserve">Load-shedding: Stage 4-6 returns. Localised to South Deep (~14% of group oz): ~5-15koz lost + diesel self-generation adds ~US$50-150/oz to its AISC =&gt; ~+US$20/oz group AISC, ~-5koz group output. Khanyisa 50MW solar (~8.5% of grid cost) cushions but daytime-only. Net USD headwind ~-US$50-120m EBITDA.</t>
  </si>
  <si>
    <t xml:space="preserve">Combined: both shocks together (they tend to co-arrive). Weak-rand cost tailwind partly offsets the load-shedding drag =&gt; near-wash in USD; large uplift in ZAR. Base sits between, on company guidance.</t>
  </si>
  <si>
    <t xml:space="preserve">GOLD FIELDS - SCENARIO MODEL OUTPUT  (US$m unless stated)</t>
  </si>
  <si>
    <t xml:space="preserve">Green = link to Assumptions; black = formula. Re-runs when blue inputs change. All forward values (e). Source S1/S6.</t>
  </si>
  <si>
    <t xml:space="preserve">Output</t>
  </si>
  <si>
    <t xml:space="preserve">S6</t>
  </si>
  <si>
    <t xml:space="preserve">Revenue (gold-only proxy)</t>
  </si>
  <si>
    <t xml:space="preserve">(e)</t>
  </si>
  <si>
    <t xml:space="preserve">less: AISC cash cost</t>
  </si>
  <si>
    <t xml:space="preserve">Group AISC margin</t>
  </si>
  <si>
    <t xml:space="preserve">add: sustaining capex</t>
  </si>
  <si>
    <t xml:space="preserve">EBITDA (e)</t>
  </si>
  <si>
    <t xml:space="preserve">EBITDA margin (%)</t>
  </si>
  <si>
    <t xml:space="preserve">EBITDA vs Base, same year (e)</t>
  </si>
  <si>
    <t xml:space="preserve">EBITDA in ZAR bn (e)</t>
  </si>
  <si>
    <t xml:space="preserve">All-in margin, pre-tax (e)</t>
  </si>
  <si>
    <t xml:space="preserve">less: cash tax (e)</t>
  </si>
  <si>
    <t xml:space="preserve">Post-tax all-in FCF proxy (e)</t>
  </si>
  <si>
    <t xml:space="preserve">FCF vs Base, same year (e)</t>
  </si>
  <si>
    <t xml:space="preserve">Implied shareholder returns (e)</t>
  </si>
  <si>
    <t xml:space="preserve">SENSITIVITY (group, at ~2.5Moz)</t>
  </si>
  <si>
    <t xml:space="preserve">Gold price: +/-US$100/oz</t>
  </si>
  <si>
    <t xml:space="preserve">+/- US$250m EBITDA (e)</t>
  </si>
  <si>
    <t xml:space="preserve">Group AISC: +/-US$100/oz</t>
  </si>
  <si>
    <t xml:space="preserve">-/+ US$250m EBITDA (e)</t>
  </si>
  <si>
    <t xml:space="preserve">Weaker rand ~25-35% (to R20-22)</t>
  </si>
  <si>
    <t xml:space="preserve">+~US$100m USD EBITDA (e); rand EBITDA/div +25-30% (e)</t>
  </si>
  <si>
    <t xml:space="preserve">Load-shedding Stage 4-6 returns</t>
  </si>
  <si>
    <t xml:space="preserve">-~US$50-120m USD EBITDA (e)</t>
  </si>
  <si>
    <t xml:space="preserve">POSITIVE OUTCOMES ASSESSMENT (ESG &amp; Stakeholder) - informational, non-financial</t>
  </si>
  <si>
    <t xml:space="preserve">Per AllWeather's 'Investing in positive outcomes' philosophy. This lens does NOT change, gate or tie-break the financial conclusion. AllWeather view = judgement, not sourced fact.</t>
  </si>
  <si>
    <t xml:space="preserve">Pillar</t>
  </si>
  <si>
    <t xml:space="preserve">Evidence</t>
  </si>
  <si>
    <t xml:space="preserve">ESG / impact</t>
  </si>
  <si>
    <t xml:space="preserve">Net-zero by 2050 (Paris-aligned); Scope 1&amp;2 -30% net / -50% absolute by 2030, Scope 3 -10% net by 2030. By 2024 only ~4% Scope 1&amp;2 cut vs 2016 baseline (production +5% over the span) - most reduction still to come. Tailings, water stewardship and 30% female workforce are named 2030 goals.</t>
  </si>
  <si>
    <t xml:space="preserve">S3</t>
  </si>
  <si>
    <t xml:space="preserve">South Deep 50MW Khanyisa solar runs at ~8.5% of Eskom grid cost and exports surplus power; battery + wind extension under evaluation. Lowers emissions AND hardens the mine against the load-shedding risk modelled here.</t>
  </si>
  <si>
    <t xml:space="preserve">Stakeholder</t>
  </si>
  <si>
    <t xml:space="preserve">Safety: five consecutive quarters fatality-free, though three serious injuries most recent quarter - improving, not solved.</t>
  </si>
  <si>
    <t xml:space="preserve">Thusano employee share trust holds ~10.75% of GFIMSA (SA holdco), paying employee dividends; South Deep Education &amp; Community Trusts fund jobs, adult education, infrastructure and small-enterprise development.</t>
  </si>
  <si>
    <t xml:space="preserve">AllWeather view</t>
  </si>
  <si>
    <t xml:space="preserve">Climate ambition sound and renewables build genuine, but thin 2024 progress vs 2016 baseline is the item to scrutinise. Trust structures are a tangible differentiated positive; open question is wage/workforce/B-BBEE data - not on disk (coverage gap). Judgement, not sourced fact.</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</si>
</sst>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0\x"/>
    <numFmt numFmtId="169" formatCode="0.0%"/>
    <numFmt numFmtId="170" formatCode="\+#,##0;\-#,##0"/>
  </numFmts>
  <fonts count="30">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b val="true"/>
      <sz val="12"/>
      <color rgb="FF2E5496"/>
      <name val="Arial"/>
      <family val="0"/>
      <charset val="1"/>
    </font>
    <font>
      <i val="true"/>
      <sz val="9"/>
      <color rgb="FF595959"/>
      <name val="Arial"/>
      <family val="0"/>
      <charset val="1"/>
    </font>
    <font>
      <b val="true"/>
      <sz val="10"/>
      <color rgb="FF375623"/>
      <name val="Arial"/>
      <family val="0"/>
      <charset val="1"/>
    </font>
    <font>
      <b val="true"/>
      <sz val="11"/>
      <color rgb="FF1F3864"/>
      <name val="Arial"/>
      <family val="0"/>
      <charset val="1"/>
    </font>
    <font>
      <sz val="9.5"/>
      <color rgb="FF000000"/>
      <name val="Arial"/>
      <family val="0"/>
      <charset val="1"/>
    </font>
    <font>
      <sz val="9"/>
      <color rgb="FF000000"/>
      <name val="Arial"/>
      <family val="0"/>
      <charset val="1"/>
    </font>
    <font>
      <i val="true"/>
      <sz val="8"/>
      <color rgb="FF595959"/>
      <name val="Arial"/>
      <family val="0"/>
      <charset val="1"/>
    </font>
    <font>
      <b val="true"/>
      <sz val="13"/>
      <color rgb="FF1F3864"/>
      <name val="Arial"/>
      <family val="0"/>
      <charset val="1"/>
    </font>
    <font>
      <b val="true"/>
      <sz val="10"/>
      <color rgb="FFFFFFFF"/>
      <name val="Arial"/>
      <family val="0"/>
      <charset val="1"/>
    </font>
    <font>
      <sz val="9"/>
      <color rgb="FF808080"/>
      <name val="Arial"/>
      <family val="0"/>
      <charset val="1"/>
    </font>
    <font>
      <i val="true"/>
      <sz val="9.5"/>
      <color rgb="FF808080"/>
      <name val="Arial"/>
      <family val="0"/>
      <charset val="1"/>
    </font>
    <font>
      <sz val="9.5"/>
      <color rgb="FF808080"/>
      <name val="Arial"/>
      <family val="0"/>
      <charset val="1"/>
    </font>
    <font>
      <i val="true"/>
      <sz val="8.5"/>
      <color rgb="FF595959"/>
      <name val="Arial"/>
      <family val="0"/>
      <charset val="1"/>
    </font>
    <font>
      <b val="true"/>
      <sz val="9"/>
      <color rgb="FFFFFFFF"/>
      <name val="Arial"/>
      <family val="0"/>
      <charset val="1"/>
    </font>
    <font>
      <sz val="9.5"/>
      <color rgb="FF0000FF"/>
      <name val="Arial"/>
      <family val="0"/>
      <charset val="1"/>
    </font>
    <font>
      <b val="true"/>
      <sz val="9.5"/>
      <color rgb="FF1F3864"/>
      <name val="Arial"/>
      <family val="0"/>
      <charset val="1"/>
    </font>
    <font>
      <sz val="8.7"/>
      <color rgb="FF404040"/>
      <name val="Arial"/>
      <family val="0"/>
      <charset val="1"/>
    </font>
    <font>
      <sz val="9.5"/>
      <color rgb="FF008000"/>
      <name val="Arial"/>
      <family val="0"/>
      <charset val="1"/>
    </font>
    <font>
      <b val="true"/>
      <sz val="9.5"/>
      <color rgb="FF000000"/>
      <name val="Arial"/>
      <family val="0"/>
      <charset val="1"/>
    </font>
    <font>
      <sz val="9.5"/>
      <color rgb="FF1F3864"/>
      <name val="Arial"/>
      <family val="0"/>
      <charset val="1"/>
    </font>
    <font>
      <b val="true"/>
      <sz val="9.5"/>
      <color rgb="FF375623"/>
      <name val="Arial"/>
      <family val="0"/>
      <charset val="1"/>
    </font>
    <font>
      <sz val="9.5"/>
      <color rgb="FF375623"/>
      <name val="Arial"/>
      <family val="0"/>
      <charset val="1"/>
    </font>
    <font>
      <b val="true"/>
      <sz val="10"/>
      <color rgb="FF1F3864"/>
      <name val="Arial"/>
      <family val="0"/>
      <charset val="1"/>
    </font>
    <font>
      <b val="true"/>
      <sz val="12"/>
      <color rgb="FF1F3864"/>
      <name val="Arial"/>
      <family val="0"/>
      <charset val="1"/>
    </font>
    <font>
      <b val="true"/>
      <i val="true"/>
      <sz val="9.5"/>
      <color rgb="FF000000"/>
      <name val="Arial"/>
      <family val="0"/>
      <charset val="1"/>
    </font>
  </fonts>
  <fills count="6">
    <fill>
      <patternFill patternType="none"/>
    </fill>
    <fill>
      <patternFill patternType="gray125"/>
    </fill>
    <fill>
      <patternFill patternType="solid">
        <fgColor rgb="FF1F3864"/>
        <bgColor rgb="FF404040"/>
      </patternFill>
    </fill>
    <fill>
      <patternFill patternType="solid">
        <fgColor rgb="FF808080"/>
        <bgColor rgb="FF969696"/>
      </patternFill>
    </fill>
    <fill>
      <patternFill patternType="solid">
        <fgColor rgb="FF375623"/>
        <bgColor rgb="FF404040"/>
      </patternFill>
    </fill>
    <fill>
      <patternFill patternType="solid">
        <fgColor rgb="FFC00000"/>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2" borderId="1" xfId="0" applyFont="true" applyBorder="true" applyAlignment="true" applyProtection="true">
      <alignment horizontal="left" vertical="bottom" textRotation="0" wrapText="false" indent="0" shrinkToFit="false"/>
      <protection locked="true" hidden="false"/>
    </xf>
    <xf numFmtId="164" fontId="13" fillId="2" borderId="1" xfId="0" applyFont="true" applyBorder="tru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5" fontId="9" fillId="0" borderId="1" xfId="0" applyFont="true" applyBorder="true" applyAlignment="true" applyProtection="true">
      <alignment horizontal="center" vertical="bottom" textRotation="0" wrapText="false" indent="0" shrinkToFit="false"/>
      <protection locked="true" hidden="false"/>
    </xf>
    <xf numFmtId="166" fontId="9" fillId="0" borderId="1" xfId="0" applyFont="true" applyBorder="true" applyAlignment="true" applyProtection="true">
      <alignment horizontal="center" vertical="bottom" textRotation="0" wrapText="false" indent="0" shrinkToFit="false"/>
      <protection locked="true" hidden="false"/>
    </xf>
    <xf numFmtId="164" fontId="14" fillId="0" borderId="1" xfId="0" applyFont="true" applyBorder="true" applyAlignment="true" applyProtection="true">
      <alignment horizontal="center" vertical="bottom" textRotation="0" wrapText="false" indent="0" shrinkToFit="false"/>
      <protection locked="true" hidden="false"/>
    </xf>
    <xf numFmtId="164" fontId="15" fillId="0" borderId="1" xfId="0" applyFont="true" applyBorder="true" applyAlignment="true" applyProtection="true">
      <alignment horizontal="center" vertical="bottom" textRotation="0" wrapText="false" indent="0" shrinkToFit="false"/>
      <protection locked="true" hidden="false"/>
    </xf>
    <xf numFmtId="164" fontId="16" fillId="0" borderId="1" xfId="0" applyFont="true" applyBorder="true" applyAlignment="true" applyProtection="true">
      <alignment horizontal="center" vertical="bottom" textRotation="0" wrapText="false" indent="0" shrinkToFit="false"/>
      <protection locked="true" hidden="false"/>
    </xf>
    <xf numFmtId="167" fontId="9" fillId="0" borderId="1" xfId="0" applyFont="true" applyBorder="true" applyAlignment="true" applyProtection="true">
      <alignment horizontal="center" vertical="bottom" textRotation="0" wrapText="false" indent="0" shrinkToFit="false"/>
      <protection locked="true" hidden="false"/>
    </xf>
    <xf numFmtId="168" fontId="9" fillId="0" borderId="1" xfId="0" applyFont="true" applyBorder="true" applyAlignment="true" applyProtection="true">
      <alignment horizontal="center"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3" fillId="3" borderId="0" xfId="0" applyFont="true" applyBorder="false" applyAlignment="true" applyProtection="true">
      <alignment horizontal="center" vertical="bottom" textRotation="0" wrapText="false" indent="0" shrinkToFit="false"/>
      <protection locked="true" hidden="false"/>
    </xf>
    <xf numFmtId="164" fontId="13" fillId="3" borderId="0" xfId="0" applyFont="true" applyBorder="true" applyAlignment="true" applyProtection="true">
      <alignment horizontal="center" vertical="bottom" textRotation="0" wrapText="false" indent="0" shrinkToFit="false"/>
      <protection locked="true" hidden="false"/>
    </xf>
    <xf numFmtId="164" fontId="13" fillId="4" borderId="0" xfId="0" applyFont="true" applyBorder="true" applyAlignment="true" applyProtection="true">
      <alignment horizontal="center" vertical="bottom" textRotation="0" wrapText="false" indent="0" shrinkToFit="false"/>
      <protection locked="true" hidden="false"/>
    </xf>
    <xf numFmtId="164" fontId="13" fillId="5" borderId="0" xfId="0" applyFont="true" applyBorder="true" applyAlignment="true" applyProtection="true">
      <alignment horizontal="center" vertical="bottom" textRotation="0" wrapText="false" indent="0" shrinkToFit="false"/>
      <protection locked="true" hidden="false"/>
    </xf>
    <xf numFmtId="164" fontId="13" fillId="2" borderId="0" xfId="0" applyFont="true" applyBorder="true" applyAlignment="true" applyProtection="true">
      <alignment horizontal="center" vertical="bottom" textRotation="0" wrapText="false" indent="0" shrinkToFit="false"/>
      <protection locked="true" hidden="false"/>
    </xf>
    <xf numFmtId="164" fontId="18" fillId="2" borderId="0" xfId="0" applyFont="true" applyBorder="false" applyAlignment="true" applyProtection="true">
      <alignment horizontal="general" vertical="bottom" textRotation="0" wrapText="false" indent="0" shrinkToFit="false"/>
      <protection locked="true" hidden="false"/>
    </xf>
    <xf numFmtId="164" fontId="18" fillId="3" borderId="0" xfId="0" applyFont="true" applyBorder="false" applyAlignment="true" applyProtection="true">
      <alignment horizontal="center" vertical="bottom" textRotation="0" wrapText="false" indent="0" shrinkToFit="false"/>
      <protection locked="true" hidden="false"/>
    </xf>
    <xf numFmtId="164" fontId="18" fillId="4" borderId="0" xfId="0" applyFont="true" applyBorder="false" applyAlignment="true" applyProtection="true">
      <alignment horizontal="center" vertical="bottom" textRotation="0" wrapText="false" indent="0" shrinkToFit="false"/>
      <protection locked="true" hidden="false"/>
    </xf>
    <xf numFmtId="164" fontId="18" fillId="5" borderId="0" xfId="0" applyFont="true" applyBorder="false" applyAlignment="true" applyProtection="true">
      <alignment horizontal="center" vertical="bottom" textRotation="0" wrapText="false" indent="0" shrinkToFit="false"/>
      <protection locked="true" hidden="false"/>
    </xf>
    <xf numFmtId="164" fontId="18" fillId="2" borderId="0" xfId="0" applyFont="true" applyBorder="false" applyAlignment="true" applyProtection="true">
      <alignment horizontal="center" vertical="bottom" textRotation="0" wrapText="false" indent="0" shrinkToFit="false"/>
      <protection locked="true" hidden="false"/>
    </xf>
    <xf numFmtId="165" fontId="19" fillId="0" borderId="1" xfId="0" applyFont="true" applyBorder="true" applyAlignment="true" applyProtection="true">
      <alignment horizontal="center" vertical="bottom" textRotation="0" wrapText="false" indent="0" shrinkToFit="false"/>
      <protection locked="true" hidden="false"/>
    </xf>
    <xf numFmtId="167" fontId="19" fillId="0" borderId="1" xfId="0" applyFont="true" applyBorder="true" applyAlignment="true" applyProtection="true">
      <alignment horizontal="center" vertical="bottom" textRotation="0" wrapText="false" indent="0" shrinkToFit="false"/>
      <protection locked="true" hidden="false"/>
    </xf>
    <xf numFmtId="169" fontId="9" fillId="0" borderId="1" xfId="0" applyFont="true" applyBorder="true" applyAlignment="true" applyProtection="true">
      <alignment horizontal="center" vertical="bottom" textRotation="0" wrapText="false" indent="0" shrinkToFit="false"/>
      <protection locked="true" hidden="false"/>
    </xf>
    <xf numFmtId="169" fontId="19" fillId="0" borderId="1" xfId="0" applyFont="true" applyBorder="true" applyAlignment="true" applyProtection="true">
      <alignment horizontal="center"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general" vertical="top" textRotation="0" wrapText="true" indent="0" shrinkToFit="false"/>
      <protection locked="true" hidden="false"/>
    </xf>
    <xf numFmtId="165" fontId="22" fillId="0" borderId="1" xfId="0" applyFont="true" applyBorder="true" applyAlignment="true" applyProtection="true">
      <alignment horizontal="center" vertical="bottom" textRotation="0" wrapText="false" indent="0" shrinkToFit="false"/>
      <protection locked="true" hidden="false"/>
    </xf>
    <xf numFmtId="167" fontId="22" fillId="0" borderId="1" xfId="0" applyFont="true" applyBorder="true" applyAlignment="true" applyProtection="true">
      <alignment horizontal="center" vertical="bottom" textRotation="0" wrapText="false" indent="0" shrinkToFit="false"/>
      <protection locked="true" hidden="false"/>
    </xf>
    <xf numFmtId="164" fontId="23" fillId="0" borderId="1" xfId="0" applyFont="true" applyBorder="true" applyAlignment="true" applyProtection="true">
      <alignment horizontal="general" vertical="bottom" textRotation="0" wrapText="false" indent="0" shrinkToFit="false"/>
      <protection locked="true" hidden="false"/>
    </xf>
    <xf numFmtId="164" fontId="20" fillId="0" borderId="1" xfId="0" applyFont="true" applyBorder="true" applyAlignment="true" applyProtection="true">
      <alignment horizontal="general" vertical="bottom" textRotation="0" wrapText="false" indent="0" shrinkToFit="false"/>
      <protection locked="true" hidden="false"/>
    </xf>
    <xf numFmtId="165" fontId="24" fillId="0" borderId="1" xfId="0" applyFont="true" applyBorder="tru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center" vertical="bottom" textRotation="0" wrapText="false" indent="0" shrinkToFit="false"/>
      <protection locked="true" hidden="false"/>
    </xf>
    <xf numFmtId="170" fontId="9" fillId="0" borderId="1" xfId="0" applyFont="true" applyBorder="true" applyAlignment="true" applyProtection="true">
      <alignment horizontal="center" vertical="bottom" textRotation="0" wrapText="false" indent="0" shrinkToFit="false"/>
      <protection locked="true" hidden="false"/>
    </xf>
    <xf numFmtId="164" fontId="25" fillId="0" borderId="1" xfId="0" applyFont="true" applyBorder="true" applyAlignment="true" applyProtection="true">
      <alignment horizontal="general" vertical="bottom" textRotation="0" wrapText="false" indent="0" shrinkToFit="false"/>
      <protection locked="true" hidden="false"/>
    </xf>
    <xf numFmtId="165" fontId="26" fillId="0" borderId="1"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14" fillId="0" borderId="1" xfId="0" applyFont="true" applyBorder="true" applyAlignment="true" applyProtection="true">
      <alignment horizontal="center" vertical="top" textRotation="0" wrapText="false" indent="0" shrinkToFit="false"/>
      <protection locked="true" hidden="false"/>
    </xf>
    <xf numFmtId="164" fontId="29"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75623"/>
      <rgbColor rgb="FF993300"/>
      <rgbColor rgb="FF993366"/>
      <rgbColor rgb="FF2E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20"/>
  </cols>
  <sheetData>
    <row r="2" customFormat="false" ht="18.55" hidden="false" customHeight="false" outlineLevel="0" collapsed="false">
      <c r="B2" s="2" t="s">
        <v>0</v>
      </c>
    </row>
    <row r="3" customFormat="false" ht="15" hidden="false" customHeight="false" outlineLevel="0" collapsed="false">
      <c r="B3" s="3" t="s">
        <v>1</v>
      </c>
    </row>
    <row r="4" customFormat="false" ht="15" hidden="false" customHeight="false" outlineLevel="0" collapsed="false">
      <c r="B4" s="4" t="s">
        <v>2</v>
      </c>
    </row>
    <row r="6" customFormat="false" ht="15" hidden="false" customHeight="false" outlineLevel="0" collapsed="false">
      <c r="B6" s="5" t="s">
        <v>3</v>
      </c>
    </row>
    <row r="8" customFormat="false" ht="15" hidden="false" customHeight="false" outlineLevel="0" collapsed="false">
      <c r="B8" s="6" t="s">
        <v>4</v>
      </c>
    </row>
    <row r="9" customFormat="false" ht="15" hidden="false" customHeight="false" outlineLevel="0" collapsed="false">
      <c r="B9" s="7" t="s">
        <v>5</v>
      </c>
    </row>
    <row r="10" customFormat="false" ht="15" hidden="false" customHeight="false" outlineLevel="0" collapsed="false">
      <c r="B10" s="7" t="s">
        <v>6</v>
      </c>
    </row>
    <row r="11" customFormat="false" ht="15" hidden="false" customHeight="false" outlineLevel="0" collapsed="false">
      <c r="B11" s="7" t="s">
        <v>7</v>
      </c>
    </row>
    <row r="12" customFormat="false" ht="15" hidden="false" customHeight="false" outlineLevel="0" collapsed="false">
      <c r="B12" s="7" t="s">
        <v>8</v>
      </c>
    </row>
    <row r="13" customFormat="false" ht="15" hidden="false" customHeight="false" outlineLevel="0" collapsed="false">
      <c r="B13" s="7" t="s">
        <v>9</v>
      </c>
    </row>
    <row r="15" customFormat="false" ht="15" hidden="false" customHeight="false" outlineLevel="0" collapsed="false">
      <c r="B15" s="6" t="s">
        <v>10</v>
      </c>
    </row>
    <row r="16" customFormat="false" ht="15" hidden="false" customHeight="false" outlineLevel="0" collapsed="false">
      <c r="B16" s="7" t="s">
        <v>11</v>
      </c>
    </row>
    <row r="17" customFormat="false" ht="15" hidden="false" customHeight="false" outlineLevel="0" collapsed="false">
      <c r="B17" s="7" t="s">
        <v>12</v>
      </c>
    </row>
    <row r="18" customFormat="false" ht="15" hidden="false" customHeight="false" outlineLevel="0" collapsed="false">
      <c r="B18" s="7" t="s">
        <v>13</v>
      </c>
    </row>
    <row r="19" customFormat="false" ht="15" hidden="false" customHeight="false" outlineLevel="0" collapsed="false">
      <c r="B19" s="7" t="s">
        <v>14</v>
      </c>
    </row>
    <row r="20" customFormat="false" ht="15" hidden="false" customHeight="false" outlineLevel="0" collapsed="false">
      <c r="B20" s="7" t="s">
        <v>15</v>
      </c>
    </row>
    <row r="21" customFormat="false" ht="15" hidden="false" customHeight="false" outlineLevel="0" collapsed="false">
      <c r="B21" s="7" t="s">
        <v>16</v>
      </c>
    </row>
    <row r="23" customFormat="false" ht="15" hidden="false" customHeight="false" outlineLevel="0" collapsed="false">
      <c r="B23" s="6" t="s">
        <v>17</v>
      </c>
    </row>
    <row r="24" customFormat="false" ht="15" hidden="false" customHeight="false" outlineLevel="0" collapsed="false">
      <c r="B24" s="7" t="s">
        <v>18</v>
      </c>
    </row>
    <row r="25" customFormat="false" ht="15" hidden="false" customHeight="false" outlineLevel="0" collapsed="false">
      <c r="B25" s="7" t="s">
        <v>19</v>
      </c>
    </row>
    <row r="26" customFormat="false" ht="15" hidden="false" customHeight="false" outlineLevel="0" collapsed="false">
      <c r="B26" s="7" t="s">
        <v>20</v>
      </c>
    </row>
    <row r="27" customFormat="false" ht="15" hidden="false" customHeight="false" outlineLevel="0" collapsed="false">
      <c r="B27" s="7" t="s">
        <v>21</v>
      </c>
    </row>
    <row r="28" customFormat="false" ht="15" hidden="false" customHeight="false" outlineLevel="0" collapsed="false">
      <c r="B28" s="7" t="s">
        <v>22</v>
      </c>
    </row>
    <row r="29" customFormat="false" ht="15" hidden="false" customHeight="false" outlineLevel="0" collapsed="false">
      <c r="B29" s="7" t="s">
        <v>23</v>
      </c>
    </row>
    <row r="31" customFormat="false" ht="15" hidden="false" customHeight="false" outlineLevel="0" collapsed="false">
      <c r="B31" s="6" t="s">
        <v>24</v>
      </c>
    </row>
    <row r="32" customFormat="false" ht="15" hidden="false" customHeight="false" outlineLevel="0" collapsed="false">
      <c r="B32" s="8" t="s">
        <v>25</v>
      </c>
    </row>
    <row r="33" customFormat="false" ht="15" hidden="false" customHeight="false" outlineLevel="0" collapsed="false">
      <c r="B33" s="8" t="s">
        <v>26</v>
      </c>
    </row>
    <row r="34" customFormat="false" ht="15" hidden="false" customHeight="false" outlineLevel="0" collapsed="false">
      <c r="B34" s="8" t="s">
        <v>27</v>
      </c>
    </row>
    <row r="35" customFormat="false" ht="15" hidden="false" customHeight="false" outlineLevel="0" collapsed="false">
      <c r="B35" s="8" t="s">
        <v>28</v>
      </c>
    </row>
    <row r="36" customFormat="false" ht="15" hidden="false" customHeight="false" outlineLevel="0" collapsed="false">
      <c r="B36" s="8" t="s">
        <v>29</v>
      </c>
    </row>
    <row r="37" customFormat="false" ht="15" hidden="false" customHeight="false" outlineLevel="0" collapsed="false">
      <c r="B37" s="8" t="s">
        <v>30</v>
      </c>
    </row>
    <row r="38" customFormat="false" ht="15" hidden="false" customHeight="false" outlineLevel="0" collapsed="false">
      <c r="B38" s="8" t="s">
        <v>31</v>
      </c>
    </row>
    <row r="40" customFormat="false" ht="45.75" hidden="false" customHeight="true" outlineLevel="0" collapsed="false">
      <c r="B40" s="9"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48"/>
    <col collapsed="false" customWidth="true" hidden="false" outlineLevel="0" max="4" min="3" style="1" width="14"/>
    <col collapsed="false" customWidth="true" hidden="false" outlineLevel="0" max="5" min="5" style="1" width="11"/>
    <col collapsed="false" customWidth="true" hidden="false" outlineLevel="0" max="6" min="6" style="1" width="9"/>
  </cols>
  <sheetData>
    <row r="1" customFormat="false" ht="16.15" hidden="false" customHeight="false" outlineLevel="0" collapsed="false">
      <c r="B1" s="10" t="s">
        <v>33</v>
      </c>
    </row>
    <row r="2" customFormat="false" ht="15" hidden="false" customHeight="false" outlineLevel="0" collapsed="false">
      <c r="B2" s="4" t="s">
        <v>34</v>
      </c>
    </row>
    <row r="4" customFormat="false" ht="15" hidden="false" customHeight="false" outlineLevel="0" collapsed="false">
      <c r="B4" s="11" t="s">
        <v>35</v>
      </c>
      <c r="C4" s="12" t="s">
        <v>36</v>
      </c>
      <c r="D4" s="12" t="s">
        <v>37</v>
      </c>
      <c r="E4" s="12" t="s">
        <v>38</v>
      </c>
      <c r="F4" s="12" t="s">
        <v>39</v>
      </c>
    </row>
    <row r="5" customFormat="false" ht="15" hidden="false" customHeight="false" outlineLevel="0" collapsed="false">
      <c r="B5" s="13" t="s">
        <v>40</v>
      </c>
      <c r="C5" s="14" t="n">
        <v>8751</v>
      </c>
      <c r="D5" s="14" t="n">
        <v>5202</v>
      </c>
      <c r="E5" s="15" t="n">
        <f aca="false">C5/D5-1</f>
        <v>0.682237600922722</v>
      </c>
      <c r="F5" s="16" t="s">
        <v>41</v>
      </c>
    </row>
    <row r="6" customFormat="false" ht="15" hidden="false" customHeight="false" outlineLevel="0" collapsed="false">
      <c r="B6" s="13" t="s">
        <v>42</v>
      </c>
      <c r="C6" s="14" t="n">
        <v>8523</v>
      </c>
      <c r="D6" s="17" t="s">
        <v>43</v>
      </c>
      <c r="E6" s="18" t="s">
        <v>44</v>
      </c>
      <c r="F6" s="16" t="s">
        <v>41</v>
      </c>
    </row>
    <row r="7" customFormat="false" ht="15" hidden="false" customHeight="false" outlineLevel="0" collapsed="false">
      <c r="B7" s="13" t="s">
        <v>45</v>
      </c>
      <c r="C7" s="14" t="n">
        <v>3496</v>
      </c>
      <c r="D7" s="14" t="n">
        <v>2418</v>
      </c>
      <c r="E7" s="15" t="n">
        <f aca="false">C7/D7-1</f>
        <v>0.445822994210091</v>
      </c>
      <c r="F7" s="16" t="s">
        <v>41</v>
      </c>
    </row>
    <row r="8" customFormat="false" ht="15" hidden="false" customHeight="false" outlineLevel="0" collapsed="false">
      <c r="B8" s="13" t="s">
        <v>46</v>
      </c>
      <c r="C8" s="14" t="n">
        <v>5637</v>
      </c>
      <c r="D8" s="14" t="n">
        <v>2847</v>
      </c>
      <c r="E8" s="15" t="n">
        <f aca="false">C8/D8-1</f>
        <v>0.979978925184405</v>
      </c>
      <c r="F8" s="16" t="s">
        <v>41</v>
      </c>
    </row>
    <row r="9" customFormat="false" ht="15" hidden="false" customHeight="false" outlineLevel="0" collapsed="false">
      <c r="B9" s="13" t="s">
        <v>47</v>
      </c>
      <c r="C9" s="14" t="n">
        <v>3567</v>
      </c>
      <c r="D9" s="14" t="n">
        <v>1245</v>
      </c>
      <c r="E9" s="15" t="n">
        <f aca="false">C9/D9-1</f>
        <v>1.86506024096386</v>
      </c>
      <c r="F9" s="16" t="s">
        <v>41</v>
      </c>
    </row>
    <row r="10" customFormat="false" ht="15" hidden="false" customHeight="false" outlineLevel="0" collapsed="false">
      <c r="B10" s="13" t="s">
        <v>48</v>
      </c>
      <c r="C10" s="14" t="n">
        <v>2684</v>
      </c>
      <c r="D10" s="14" t="n">
        <v>1227</v>
      </c>
      <c r="E10" s="15" t="n">
        <f aca="false">C10/D10-1</f>
        <v>1.18744906275469</v>
      </c>
      <c r="F10" s="16" t="s">
        <v>41</v>
      </c>
    </row>
    <row r="11" customFormat="false" ht="15" hidden="false" customHeight="false" outlineLevel="0" collapsed="false">
      <c r="B11" s="13" t="s">
        <v>49</v>
      </c>
      <c r="C11" s="19" t="n">
        <v>2.438</v>
      </c>
      <c r="D11" s="19" t="n">
        <v>2.071</v>
      </c>
      <c r="E11" s="15" t="n">
        <f aca="false">C11/D11-1</f>
        <v>0.177209077740222</v>
      </c>
      <c r="F11" s="16" t="s">
        <v>41</v>
      </c>
    </row>
    <row r="12" customFormat="false" ht="15" hidden="false" customHeight="false" outlineLevel="0" collapsed="false">
      <c r="B12" s="13" t="s">
        <v>50</v>
      </c>
      <c r="C12" s="14" t="n">
        <v>1645</v>
      </c>
      <c r="D12" s="14" t="n">
        <v>1629</v>
      </c>
      <c r="E12" s="15" t="n">
        <f aca="false">C12/D12-1</f>
        <v>0.00982197667280538</v>
      </c>
      <c r="F12" s="16" t="s">
        <v>41</v>
      </c>
    </row>
    <row r="13" customFormat="false" ht="15" hidden="false" customHeight="false" outlineLevel="0" collapsed="false">
      <c r="B13" s="13" t="s">
        <v>51</v>
      </c>
      <c r="C13" s="14" t="n">
        <v>1927</v>
      </c>
      <c r="D13" s="14" t="n">
        <v>1873</v>
      </c>
      <c r="E13" s="15" t="n">
        <f aca="false">C13/D13-1</f>
        <v>0.0288307528029899</v>
      </c>
      <c r="F13" s="16" t="s">
        <v>41</v>
      </c>
    </row>
    <row r="14" customFormat="false" ht="15" hidden="false" customHeight="false" outlineLevel="0" collapsed="false">
      <c r="B14" s="13" t="s">
        <v>52</v>
      </c>
      <c r="C14" s="14" t="n">
        <v>2970</v>
      </c>
      <c r="D14" s="14" t="n">
        <v>605</v>
      </c>
      <c r="E14" s="15" t="n">
        <f aca="false">C14/D14-1</f>
        <v>3.90909090909091</v>
      </c>
      <c r="F14" s="16" t="s">
        <v>41</v>
      </c>
    </row>
    <row r="15" customFormat="false" ht="15" hidden="false" customHeight="false" outlineLevel="0" collapsed="false">
      <c r="B15" s="13" t="s">
        <v>53</v>
      </c>
      <c r="C15" s="14" t="n">
        <v>1029</v>
      </c>
      <c r="D15" s="17" t="s">
        <v>43</v>
      </c>
      <c r="E15" s="18" t="s">
        <v>44</v>
      </c>
      <c r="F15" s="16" t="s">
        <v>41</v>
      </c>
    </row>
    <row r="16" customFormat="false" ht="15" hidden="false" customHeight="false" outlineLevel="0" collapsed="false">
      <c r="B16" s="13" t="s">
        <v>54</v>
      </c>
      <c r="C16" s="14" t="n">
        <v>1442</v>
      </c>
      <c r="D16" s="14" t="n">
        <v>2086</v>
      </c>
      <c r="E16" s="15" t="n">
        <f aca="false">C16/D16-1</f>
        <v>-0.308724832214765</v>
      </c>
      <c r="F16" s="16" t="s">
        <v>41</v>
      </c>
    </row>
    <row r="17" customFormat="false" ht="15" hidden="false" customHeight="false" outlineLevel="0" collapsed="false">
      <c r="B17" s="13" t="s">
        <v>55</v>
      </c>
      <c r="C17" s="20" t="n">
        <v>0.26</v>
      </c>
      <c r="D17" s="20" t="n">
        <v>0.73</v>
      </c>
      <c r="E17" s="15" t="n">
        <f aca="false">C17/D17-1</f>
        <v>-0.643835616438356</v>
      </c>
      <c r="F17" s="16" t="s">
        <v>41</v>
      </c>
    </row>
    <row r="18" customFormat="false" ht="15" hidden="false" customHeight="false" outlineLevel="0" collapsed="false">
      <c r="B18" s="13" t="s">
        <v>56</v>
      </c>
      <c r="C18" s="19" t="n">
        <v>18.3</v>
      </c>
      <c r="D18" s="17" t="s">
        <v>43</v>
      </c>
      <c r="E18" s="18" t="s">
        <v>44</v>
      </c>
      <c r="F18" s="16" t="s">
        <v>41</v>
      </c>
    </row>
    <row r="19" customFormat="false" ht="15" hidden="false" customHeight="false" outlineLevel="0" collapsed="false">
      <c r="B19" s="13" t="s">
        <v>57</v>
      </c>
      <c r="C19" s="19" t="n">
        <v>25.5</v>
      </c>
      <c r="D19" s="19" t="n">
        <v>11</v>
      </c>
      <c r="E19" s="15" t="n">
        <f aca="false">C19/D19-1</f>
        <v>1.31818181818182</v>
      </c>
      <c r="F19" s="16" t="s">
        <v>41</v>
      </c>
    </row>
    <row r="21" customFormat="false" ht="15" hidden="false" customHeight="false" outlineLevel="0" collapsed="false">
      <c r="B21" s="21"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11" min="3" style="1" width="10"/>
  </cols>
  <sheetData>
    <row r="1" customFormat="false" ht="16.15" hidden="false" customHeight="false" outlineLevel="0" collapsed="false">
      <c r="B1" s="10" t="s">
        <v>59</v>
      </c>
    </row>
    <row r="2" customFormat="false" ht="15" hidden="false" customHeight="false" outlineLevel="0" collapsed="false">
      <c r="B2" s="4" t="s">
        <v>60</v>
      </c>
    </row>
    <row r="4" customFormat="false" ht="15" hidden="false" customHeight="false" outlineLevel="0" collapsed="false">
      <c r="B4" s="22"/>
      <c r="C4" s="23" t="s">
        <v>61</v>
      </c>
      <c r="D4" s="24" t="s">
        <v>62</v>
      </c>
      <c r="E4" s="24"/>
      <c r="F4" s="25" t="s">
        <v>63</v>
      </c>
      <c r="G4" s="25"/>
      <c r="H4" s="26" t="s">
        <v>64</v>
      </c>
      <c r="I4" s="26"/>
      <c r="J4" s="27" t="s">
        <v>65</v>
      </c>
      <c r="K4" s="27"/>
    </row>
    <row r="5" customFormat="false" ht="15" hidden="false" customHeight="false" outlineLevel="0" collapsed="false">
      <c r="B5" s="28" t="s">
        <v>66</v>
      </c>
      <c r="C5" s="29" t="s">
        <v>67</v>
      </c>
      <c r="D5" s="29" t="s">
        <v>68</v>
      </c>
      <c r="E5" s="29" t="s">
        <v>69</v>
      </c>
      <c r="F5" s="30" t="s">
        <v>68</v>
      </c>
      <c r="G5" s="30" t="s">
        <v>69</v>
      </c>
      <c r="H5" s="31" t="s">
        <v>68</v>
      </c>
      <c r="I5" s="31" t="s">
        <v>69</v>
      </c>
      <c r="J5" s="32" t="s">
        <v>68</v>
      </c>
      <c r="K5" s="32" t="s">
        <v>69</v>
      </c>
    </row>
    <row r="6" customFormat="false" ht="15" hidden="false" customHeight="false" outlineLevel="0" collapsed="false">
      <c r="B6" s="13" t="s">
        <v>70</v>
      </c>
      <c r="C6" s="14" t="n">
        <v>3496</v>
      </c>
      <c r="D6" s="33" t="n">
        <v>4300</v>
      </c>
      <c r="E6" s="33" t="n">
        <v>4400</v>
      </c>
      <c r="F6" s="33" t="n">
        <v>4300</v>
      </c>
      <c r="G6" s="33" t="n">
        <v>4400</v>
      </c>
      <c r="H6" s="33" t="n">
        <v>4300</v>
      </c>
      <c r="I6" s="33" t="n">
        <v>4400</v>
      </c>
      <c r="J6" s="33" t="n">
        <v>4300</v>
      </c>
      <c r="K6" s="33" t="n">
        <v>4400</v>
      </c>
    </row>
    <row r="7" customFormat="false" ht="15" hidden="false" customHeight="false" outlineLevel="0" collapsed="false">
      <c r="B7" s="13" t="s">
        <v>49</v>
      </c>
      <c r="C7" s="19" t="n">
        <v>2.438</v>
      </c>
      <c r="D7" s="34" t="n">
        <v>2.5</v>
      </c>
      <c r="E7" s="34" t="n">
        <v>2.55</v>
      </c>
      <c r="F7" s="34" t="n">
        <v>2.5</v>
      </c>
      <c r="G7" s="34" t="n">
        <v>2.55</v>
      </c>
      <c r="H7" s="34" t="n">
        <v>2.49</v>
      </c>
      <c r="I7" s="34" t="n">
        <v>2.54</v>
      </c>
      <c r="J7" s="34" t="n">
        <v>2.49</v>
      </c>
      <c r="K7" s="34" t="n">
        <v>2.54</v>
      </c>
    </row>
    <row r="8" customFormat="false" ht="15" hidden="false" customHeight="false" outlineLevel="0" collapsed="false">
      <c r="B8" s="13" t="s">
        <v>71</v>
      </c>
      <c r="C8" s="14" t="n">
        <v>1645</v>
      </c>
      <c r="D8" s="33" t="n">
        <v>1900</v>
      </c>
      <c r="E8" s="33" t="n">
        <v>1880</v>
      </c>
      <c r="F8" s="33" t="n">
        <v>1860</v>
      </c>
      <c r="G8" s="33" t="n">
        <v>1838</v>
      </c>
      <c r="H8" s="33" t="n">
        <v>1920</v>
      </c>
      <c r="I8" s="33" t="n">
        <v>1900</v>
      </c>
      <c r="J8" s="33" t="n">
        <v>1880</v>
      </c>
      <c r="K8" s="33" t="n">
        <v>1858</v>
      </c>
    </row>
    <row r="9" customFormat="false" ht="15" hidden="false" customHeight="false" outlineLevel="0" collapsed="false">
      <c r="B9" s="13" t="s">
        <v>51</v>
      </c>
      <c r="C9" s="14" t="n">
        <v>1927</v>
      </c>
      <c r="D9" s="33" t="n">
        <v>2200</v>
      </c>
      <c r="E9" s="33" t="n">
        <v>2170</v>
      </c>
      <c r="F9" s="33" t="n">
        <v>2160</v>
      </c>
      <c r="G9" s="33" t="n">
        <v>2128</v>
      </c>
      <c r="H9" s="33" t="n">
        <v>2220</v>
      </c>
      <c r="I9" s="33" t="n">
        <v>2190</v>
      </c>
      <c r="J9" s="33" t="n">
        <v>2180</v>
      </c>
      <c r="K9" s="33" t="n">
        <v>2148</v>
      </c>
    </row>
    <row r="10" customFormat="false" ht="15" hidden="false" customHeight="false" outlineLevel="0" collapsed="false">
      <c r="B10" s="13" t="s">
        <v>72</v>
      </c>
      <c r="C10" s="14" t="n">
        <v>1029</v>
      </c>
      <c r="D10" s="33" t="n">
        <v>1350</v>
      </c>
      <c r="E10" s="33" t="n">
        <v>1320</v>
      </c>
      <c r="F10" s="33" t="n">
        <v>1350</v>
      </c>
      <c r="G10" s="33" t="n">
        <v>1320</v>
      </c>
      <c r="H10" s="33" t="n">
        <v>1350</v>
      </c>
      <c r="I10" s="33" t="n">
        <v>1320</v>
      </c>
      <c r="J10" s="33" t="n">
        <v>1350</v>
      </c>
      <c r="K10" s="33" t="n">
        <v>1320</v>
      </c>
    </row>
    <row r="11" customFormat="false" ht="15" hidden="false" customHeight="false" outlineLevel="0" collapsed="false">
      <c r="B11" s="13" t="s">
        <v>73</v>
      </c>
      <c r="C11" s="35" t="n">
        <v>0.31</v>
      </c>
      <c r="D11" s="36" t="n">
        <v>0.3</v>
      </c>
      <c r="E11" s="36" t="n">
        <v>0.3</v>
      </c>
      <c r="F11" s="36" t="n">
        <v>0.3</v>
      </c>
      <c r="G11" s="36" t="n">
        <v>0.3</v>
      </c>
      <c r="H11" s="36" t="n">
        <v>0.3</v>
      </c>
      <c r="I11" s="36" t="n">
        <v>0.3</v>
      </c>
      <c r="J11" s="36" t="n">
        <v>0.3</v>
      </c>
      <c r="K11" s="36" t="n">
        <v>0.3</v>
      </c>
    </row>
    <row r="12" customFormat="false" ht="15" hidden="false" customHeight="false" outlineLevel="0" collapsed="false">
      <c r="B12" s="13" t="s">
        <v>56</v>
      </c>
      <c r="C12" s="19" t="n">
        <v>18.3</v>
      </c>
      <c r="D12" s="34" t="n">
        <v>16.5</v>
      </c>
      <c r="E12" s="34" t="n">
        <v>16.8</v>
      </c>
      <c r="F12" s="34" t="n">
        <v>21</v>
      </c>
      <c r="G12" s="34" t="n">
        <v>22</v>
      </c>
      <c r="H12" s="34" t="n">
        <v>16.5</v>
      </c>
      <c r="I12" s="34" t="n">
        <v>16.8</v>
      </c>
      <c r="J12" s="34" t="n">
        <v>21</v>
      </c>
      <c r="K12" s="34" t="n">
        <v>22</v>
      </c>
    </row>
    <row r="13" customFormat="false" ht="15" hidden="false" customHeight="false" outlineLevel="0" collapsed="false">
      <c r="B13" s="13" t="s">
        <v>74</v>
      </c>
      <c r="C13" s="35" t="n">
        <v>0.54</v>
      </c>
      <c r="D13" s="36" t="n">
        <v>0.45</v>
      </c>
      <c r="E13" s="36" t="n">
        <v>0.45</v>
      </c>
      <c r="F13" s="36" t="n">
        <v>0.45</v>
      </c>
      <c r="G13" s="36" t="n">
        <v>0.45</v>
      </c>
      <c r="H13" s="36" t="n">
        <v>0.42</v>
      </c>
      <c r="I13" s="36" t="n">
        <v>0.42</v>
      </c>
      <c r="J13" s="36" t="n">
        <v>0.42</v>
      </c>
      <c r="K13" s="36" t="n">
        <v>0.42</v>
      </c>
    </row>
    <row r="15" customFormat="false" ht="15" hidden="false" customHeight="false" outlineLevel="0" collapsed="false">
      <c r="B15" s="37" t="s">
        <v>75</v>
      </c>
    </row>
    <row r="16" customFormat="false" ht="43.5" hidden="false" customHeight="true" outlineLevel="0" collapsed="false">
      <c r="B16" s="38" t="s">
        <v>76</v>
      </c>
      <c r="C16" s="38"/>
      <c r="D16" s="38"/>
      <c r="E16" s="38"/>
      <c r="F16" s="38"/>
      <c r="G16" s="38"/>
      <c r="H16" s="38"/>
      <c r="I16" s="38"/>
      <c r="J16" s="38"/>
      <c r="K16" s="38"/>
    </row>
    <row r="17" customFormat="false" ht="43.5" hidden="false" customHeight="true" outlineLevel="0" collapsed="false">
      <c r="B17" s="38" t="s">
        <v>77</v>
      </c>
      <c r="C17" s="38"/>
      <c r="D17" s="38"/>
      <c r="E17" s="38"/>
      <c r="F17" s="38"/>
      <c r="G17" s="38"/>
      <c r="H17" s="38"/>
      <c r="I17" s="38"/>
      <c r="J17" s="38"/>
      <c r="K17" s="38"/>
    </row>
    <row r="18" customFormat="false" ht="43.5" hidden="false" customHeight="true" outlineLevel="0" collapsed="false">
      <c r="B18" s="38" t="s">
        <v>78</v>
      </c>
      <c r="C18" s="38"/>
      <c r="D18" s="38"/>
      <c r="E18" s="38"/>
      <c r="F18" s="38"/>
      <c r="G18" s="38"/>
      <c r="H18" s="38"/>
      <c r="I18" s="38"/>
      <c r="J18" s="38"/>
      <c r="K18" s="38"/>
    </row>
  </sheetData>
  <mergeCells count="7">
    <mergeCell ref="D4:E4"/>
    <mergeCell ref="F4:G4"/>
    <mergeCell ref="H4:I4"/>
    <mergeCell ref="J4:K4"/>
    <mergeCell ref="B16:K16"/>
    <mergeCell ref="B17:K17"/>
    <mergeCell ref="B18:K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11" min="3" style="1" width="10"/>
    <col collapsed="false" customWidth="true" hidden="false" outlineLevel="0" max="12" min="12" style="1" width="7"/>
  </cols>
  <sheetData>
    <row r="1" customFormat="false" ht="16.15" hidden="false" customHeight="false" outlineLevel="0" collapsed="false">
      <c r="B1" s="10" t="s">
        <v>79</v>
      </c>
    </row>
    <row r="2" customFormat="false" ht="15" hidden="false" customHeight="false" outlineLevel="0" collapsed="false">
      <c r="B2" s="4" t="s">
        <v>80</v>
      </c>
    </row>
    <row r="4" customFormat="false" ht="15" hidden="false" customHeight="false" outlineLevel="0" collapsed="false">
      <c r="B4" s="22"/>
      <c r="C4" s="23" t="s">
        <v>61</v>
      </c>
      <c r="D4" s="24" t="s">
        <v>62</v>
      </c>
      <c r="E4" s="24"/>
      <c r="F4" s="25" t="s">
        <v>63</v>
      </c>
      <c r="G4" s="25"/>
      <c r="H4" s="26" t="s">
        <v>64</v>
      </c>
      <c r="I4" s="26"/>
      <c r="J4" s="27" t="s">
        <v>65</v>
      </c>
      <c r="K4" s="27"/>
    </row>
    <row r="5" customFormat="false" ht="15" hidden="false" customHeight="false" outlineLevel="0" collapsed="false">
      <c r="B5" s="28" t="s">
        <v>81</v>
      </c>
      <c r="C5" s="29" t="s">
        <v>67</v>
      </c>
      <c r="D5" s="29" t="s">
        <v>68</v>
      </c>
      <c r="E5" s="29" t="s">
        <v>69</v>
      </c>
      <c r="F5" s="30" t="s">
        <v>68</v>
      </c>
      <c r="G5" s="30" t="s">
        <v>69</v>
      </c>
      <c r="H5" s="31" t="s">
        <v>68</v>
      </c>
      <c r="I5" s="31" t="s">
        <v>69</v>
      </c>
      <c r="J5" s="32" t="s">
        <v>68</v>
      </c>
      <c r="K5" s="32" t="s">
        <v>69</v>
      </c>
      <c r="L5" s="32" t="s">
        <v>39</v>
      </c>
    </row>
    <row r="6" customFormat="false" ht="15" hidden="false" customHeight="false" outlineLevel="0" collapsed="false">
      <c r="B6" s="13" t="s">
        <v>70</v>
      </c>
      <c r="C6" s="39" t="n">
        <f aca="false">Assumptions!C6</f>
        <v>3496</v>
      </c>
      <c r="D6" s="39" t="n">
        <f aca="false">Assumptions!D6</f>
        <v>4300</v>
      </c>
      <c r="E6" s="39" t="n">
        <f aca="false">Assumptions!E6</f>
        <v>4400</v>
      </c>
      <c r="F6" s="39" t="n">
        <f aca="false">Assumptions!F6</f>
        <v>4300</v>
      </c>
      <c r="G6" s="39" t="n">
        <f aca="false">Assumptions!G6</f>
        <v>4400</v>
      </c>
      <c r="H6" s="39" t="n">
        <f aca="false">Assumptions!H6</f>
        <v>4300</v>
      </c>
      <c r="I6" s="39" t="n">
        <f aca="false">Assumptions!I6</f>
        <v>4400</v>
      </c>
      <c r="J6" s="39" t="n">
        <f aca="false">Assumptions!J6</f>
        <v>4300</v>
      </c>
      <c r="K6" s="39" t="n">
        <f aca="false">Assumptions!K6</f>
        <v>4400</v>
      </c>
      <c r="L6" s="16" t="s">
        <v>82</v>
      </c>
    </row>
    <row r="7" customFormat="false" ht="15" hidden="false" customHeight="false" outlineLevel="0" collapsed="false">
      <c r="B7" s="13" t="s">
        <v>49</v>
      </c>
      <c r="C7" s="40" t="n">
        <f aca="false">Assumptions!C7</f>
        <v>2.438</v>
      </c>
      <c r="D7" s="40" t="n">
        <f aca="false">Assumptions!D7</f>
        <v>2.5</v>
      </c>
      <c r="E7" s="40" t="n">
        <f aca="false">Assumptions!E7</f>
        <v>2.55</v>
      </c>
      <c r="F7" s="40" t="n">
        <f aca="false">Assumptions!F7</f>
        <v>2.5</v>
      </c>
      <c r="G7" s="40" t="n">
        <f aca="false">Assumptions!G7</f>
        <v>2.55</v>
      </c>
      <c r="H7" s="40" t="n">
        <f aca="false">Assumptions!H7</f>
        <v>2.49</v>
      </c>
      <c r="I7" s="40" t="n">
        <f aca="false">Assumptions!I7</f>
        <v>2.54</v>
      </c>
      <c r="J7" s="40" t="n">
        <f aca="false">Assumptions!J7</f>
        <v>2.49</v>
      </c>
      <c r="K7" s="40" t="n">
        <f aca="false">Assumptions!K7</f>
        <v>2.54</v>
      </c>
      <c r="L7" s="16" t="s">
        <v>82</v>
      </c>
    </row>
    <row r="8" customFormat="false" ht="15" hidden="false" customHeight="false" outlineLevel="0" collapsed="false">
      <c r="B8" s="13" t="s">
        <v>50</v>
      </c>
      <c r="C8" s="39" t="n">
        <f aca="false">Assumptions!C8</f>
        <v>1645</v>
      </c>
      <c r="D8" s="39" t="n">
        <f aca="false">Assumptions!D8</f>
        <v>1900</v>
      </c>
      <c r="E8" s="39" t="n">
        <f aca="false">Assumptions!E8</f>
        <v>1880</v>
      </c>
      <c r="F8" s="39" t="n">
        <f aca="false">Assumptions!F8</f>
        <v>1860</v>
      </c>
      <c r="G8" s="39" t="n">
        <f aca="false">Assumptions!G8</f>
        <v>1838</v>
      </c>
      <c r="H8" s="39" t="n">
        <f aca="false">Assumptions!H8</f>
        <v>1920</v>
      </c>
      <c r="I8" s="39" t="n">
        <f aca="false">Assumptions!I8</f>
        <v>1900</v>
      </c>
      <c r="J8" s="39" t="n">
        <f aca="false">Assumptions!J8</f>
        <v>1880</v>
      </c>
      <c r="K8" s="39" t="n">
        <f aca="false">Assumptions!K8</f>
        <v>1858</v>
      </c>
      <c r="L8" s="16" t="s">
        <v>82</v>
      </c>
    </row>
    <row r="9" customFormat="false" ht="15" hidden="false" customHeight="false" outlineLevel="0" collapsed="false">
      <c r="B9" s="13" t="s">
        <v>56</v>
      </c>
      <c r="C9" s="40" t="n">
        <f aca="false">Assumptions!C12</f>
        <v>18.3</v>
      </c>
      <c r="D9" s="40" t="n">
        <f aca="false">Assumptions!D12</f>
        <v>16.5</v>
      </c>
      <c r="E9" s="40" t="n">
        <f aca="false">Assumptions!E12</f>
        <v>16.8</v>
      </c>
      <c r="F9" s="40" t="n">
        <f aca="false">Assumptions!F12</f>
        <v>21</v>
      </c>
      <c r="G9" s="40" t="n">
        <f aca="false">Assumptions!G12</f>
        <v>22</v>
      </c>
      <c r="H9" s="40" t="n">
        <f aca="false">Assumptions!H12</f>
        <v>16.5</v>
      </c>
      <c r="I9" s="40" t="n">
        <f aca="false">Assumptions!I12</f>
        <v>16.8</v>
      </c>
      <c r="J9" s="40" t="n">
        <f aca="false">Assumptions!J12</f>
        <v>21</v>
      </c>
      <c r="K9" s="40" t="n">
        <f aca="false">Assumptions!K12</f>
        <v>22</v>
      </c>
      <c r="L9" s="16" t="s">
        <v>82</v>
      </c>
    </row>
    <row r="10" customFormat="false" ht="15" hidden="false" customHeight="false" outlineLevel="0" collapsed="false">
      <c r="B10" s="41" t="s">
        <v>83</v>
      </c>
      <c r="C10" s="14" t="n">
        <f aca="false">C6*C7</f>
        <v>8523.248</v>
      </c>
      <c r="D10" s="14" t="n">
        <f aca="false">D6*D7</f>
        <v>10750</v>
      </c>
      <c r="E10" s="14" t="n">
        <f aca="false">E6*E7</f>
        <v>11220</v>
      </c>
      <c r="F10" s="14" t="n">
        <f aca="false">F6*F7</f>
        <v>10750</v>
      </c>
      <c r="G10" s="14" t="n">
        <f aca="false">G6*G7</f>
        <v>11220</v>
      </c>
      <c r="H10" s="14" t="n">
        <f aca="false">H6*H7</f>
        <v>10707</v>
      </c>
      <c r="I10" s="14" t="n">
        <f aca="false">I6*I7</f>
        <v>11176</v>
      </c>
      <c r="J10" s="14" t="n">
        <f aca="false">J6*J7</f>
        <v>10707</v>
      </c>
      <c r="K10" s="14" t="n">
        <f aca="false">K6*K7</f>
        <v>11176</v>
      </c>
      <c r="L10" s="16" t="s">
        <v>84</v>
      </c>
    </row>
    <row r="11" customFormat="false" ht="15" hidden="false" customHeight="false" outlineLevel="0" collapsed="false">
      <c r="B11" s="13" t="s">
        <v>85</v>
      </c>
      <c r="C11" s="14" t="n">
        <f aca="false">-C8*C7</f>
        <v>-4010.51</v>
      </c>
      <c r="D11" s="14" t="n">
        <f aca="false">-D8*D7</f>
        <v>-4750</v>
      </c>
      <c r="E11" s="14" t="n">
        <f aca="false">-E8*E7</f>
        <v>-4794</v>
      </c>
      <c r="F11" s="14" t="n">
        <f aca="false">-F8*F7</f>
        <v>-4650</v>
      </c>
      <c r="G11" s="14" t="n">
        <f aca="false">-G8*G7</f>
        <v>-4686.9</v>
      </c>
      <c r="H11" s="14" t="n">
        <f aca="false">-H8*H7</f>
        <v>-4780.8</v>
      </c>
      <c r="I11" s="14" t="n">
        <f aca="false">-I8*I7</f>
        <v>-4826</v>
      </c>
      <c r="J11" s="14" t="n">
        <f aca="false">-J8*J7</f>
        <v>-4681.2</v>
      </c>
      <c r="K11" s="14" t="n">
        <f aca="false">-K8*K7</f>
        <v>-4719.32</v>
      </c>
      <c r="L11" s="16" t="s">
        <v>84</v>
      </c>
    </row>
    <row r="12" customFormat="false" ht="15" hidden="false" customHeight="false" outlineLevel="0" collapsed="false">
      <c r="B12" s="13" t="s">
        <v>86</v>
      </c>
      <c r="C12" s="14" t="n">
        <f aca="false">C10-C8*C7</f>
        <v>4512.738</v>
      </c>
      <c r="D12" s="14" t="n">
        <f aca="false">D10-D8*D7</f>
        <v>6000</v>
      </c>
      <c r="E12" s="14" t="n">
        <f aca="false">E10-E8*E7</f>
        <v>6426</v>
      </c>
      <c r="F12" s="14" t="n">
        <f aca="false">F10-F8*F7</f>
        <v>6100</v>
      </c>
      <c r="G12" s="14" t="n">
        <f aca="false">G10-G8*G7</f>
        <v>6533.1</v>
      </c>
      <c r="H12" s="14" t="n">
        <f aca="false">H10-H8*H7</f>
        <v>5926.2</v>
      </c>
      <c r="I12" s="14" t="n">
        <f aca="false">I10-I8*I7</f>
        <v>6350</v>
      </c>
      <c r="J12" s="14" t="n">
        <f aca="false">J10-J8*J7</f>
        <v>6025.8</v>
      </c>
      <c r="K12" s="14" t="n">
        <f aca="false">K10-K8*K7</f>
        <v>6456.68</v>
      </c>
      <c r="L12" s="16" t="s">
        <v>84</v>
      </c>
    </row>
    <row r="13" customFormat="false" ht="15" hidden="false" customHeight="false" outlineLevel="0" collapsed="false">
      <c r="B13" s="13" t="s">
        <v>87</v>
      </c>
      <c r="C13" s="39" t="n">
        <f aca="false">Assumptions!C10</f>
        <v>1029</v>
      </c>
      <c r="D13" s="39" t="n">
        <f aca="false">Assumptions!D10</f>
        <v>1350</v>
      </c>
      <c r="E13" s="39" t="n">
        <f aca="false">Assumptions!E10</f>
        <v>1320</v>
      </c>
      <c r="F13" s="39" t="n">
        <f aca="false">Assumptions!F10</f>
        <v>1350</v>
      </c>
      <c r="G13" s="39" t="n">
        <f aca="false">Assumptions!G10</f>
        <v>1320</v>
      </c>
      <c r="H13" s="39" t="n">
        <f aca="false">Assumptions!H10</f>
        <v>1350</v>
      </c>
      <c r="I13" s="39" t="n">
        <f aca="false">Assumptions!I10</f>
        <v>1320</v>
      </c>
      <c r="J13" s="39" t="n">
        <f aca="false">Assumptions!J10</f>
        <v>1350</v>
      </c>
      <c r="K13" s="39" t="n">
        <f aca="false">Assumptions!K10</f>
        <v>1320</v>
      </c>
      <c r="L13" s="16" t="s">
        <v>82</v>
      </c>
    </row>
    <row r="14" customFormat="false" ht="15" hidden="false" customHeight="false" outlineLevel="0" collapsed="false">
      <c r="B14" s="42" t="s">
        <v>88</v>
      </c>
      <c r="C14" s="43" t="n">
        <f aca="false">C12+C13</f>
        <v>5541.738</v>
      </c>
      <c r="D14" s="43" t="n">
        <f aca="false">D12+D13</f>
        <v>7350</v>
      </c>
      <c r="E14" s="43" t="n">
        <f aca="false">E12+E13</f>
        <v>7746</v>
      </c>
      <c r="F14" s="43" t="n">
        <f aca="false">F12+F13</f>
        <v>7450</v>
      </c>
      <c r="G14" s="43" t="n">
        <f aca="false">G12+G13</f>
        <v>7853.1</v>
      </c>
      <c r="H14" s="43" t="n">
        <f aca="false">H12+H13</f>
        <v>7276.2</v>
      </c>
      <c r="I14" s="43" t="n">
        <f aca="false">I12+I13</f>
        <v>7670</v>
      </c>
      <c r="J14" s="43" t="n">
        <f aca="false">J12+J13</f>
        <v>7375.8</v>
      </c>
      <c r="K14" s="43" t="n">
        <f aca="false">K12+K13</f>
        <v>7776.68</v>
      </c>
      <c r="L14" s="16" t="s">
        <v>84</v>
      </c>
    </row>
    <row r="15" customFormat="false" ht="15" hidden="false" customHeight="false" outlineLevel="0" collapsed="false">
      <c r="B15" s="13" t="s">
        <v>89</v>
      </c>
      <c r="C15" s="35" t="n">
        <f aca="false">C14/C10</f>
        <v>0.650190866204996</v>
      </c>
      <c r="D15" s="35" t="n">
        <f aca="false">D14/D10</f>
        <v>0.683720930232558</v>
      </c>
      <c r="E15" s="35" t="n">
        <f aca="false">E14/E10</f>
        <v>0.690374331550802</v>
      </c>
      <c r="F15" s="35" t="n">
        <f aca="false">F14/F10</f>
        <v>0.693023255813954</v>
      </c>
      <c r="G15" s="35" t="n">
        <f aca="false">G14/G10</f>
        <v>0.699919786096257</v>
      </c>
      <c r="H15" s="35" t="n">
        <f aca="false">H14/H10</f>
        <v>0.679574110395069</v>
      </c>
      <c r="I15" s="35" t="n">
        <f aca="false">I14/I10</f>
        <v>0.686292054402291</v>
      </c>
      <c r="J15" s="35" t="n">
        <f aca="false">J14/J10</f>
        <v>0.688876435976464</v>
      </c>
      <c r="K15" s="35" t="n">
        <f aca="false">K14/K10</f>
        <v>0.695837508947745</v>
      </c>
      <c r="L15" s="16" t="s">
        <v>84</v>
      </c>
    </row>
    <row r="16" customFormat="false" ht="15" hidden="false" customHeight="false" outlineLevel="0" collapsed="false">
      <c r="B16" s="13" t="s">
        <v>90</v>
      </c>
      <c r="C16" s="44" t="s">
        <v>44</v>
      </c>
      <c r="D16" s="44" t="s">
        <v>44</v>
      </c>
      <c r="E16" s="44" t="s">
        <v>44</v>
      </c>
      <c r="F16" s="45" t="n">
        <f aca="false">F14-D14</f>
        <v>100</v>
      </c>
      <c r="G16" s="45" t="n">
        <f aca="false">G14-E14</f>
        <v>107.1</v>
      </c>
      <c r="H16" s="45" t="n">
        <f aca="false">H14-D14</f>
        <v>-73.7999999999984</v>
      </c>
      <c r="I16" s="45" t="n">
        <f aca="false">I14-E14</f>
        <v>-76</v>
      </c>
      <c r="J16" s="45" t="n">
        <f aca="false">J14-D14</f>
        <v>25.8000000000011</v>
      </c>
      <c r="K16" s="45" t="n">
        <f aca="false">K14-E14</f>
        <v>30.6800000000003</v>
      </c>
      <c r="L16" s="16" t="s">
        <v>84</v>
      </c>
    </row>
    <row r="17" customFormat="false" ht="15" hidden="false" customHeight="false" outlineLevel="0" collapsed="false">
      <c r="B17" s="13" t="s">
        <v>91</v>
      </c>
      <c r="C17" s="19" t="n">
        <f aca="false">C14*C9/1000</f>
        <v>101.4138054</v>
      </c>
      <c r="D17" s="19" t="n">
        <f aca="false">D14*D9/1000</f>
        <v>121.275</v>
      </c>
      <c r="E17" s="19" t="n">
        <f aca="false">E14*E9/1000</f>
        <v>130.1328</v>
      </c>
      <c r="F17" s="19" t="n">
        <f aca="false">F14*F9/1000</f>
        <v>156.45</v>
      </c>
      <c r="G17" s="19" t="n">
        <f aca="false">G14*G9/1000</f>
        <v>172.7682</v>
      </c>
      <c r="H17" s="19" t="n">
        <f aca="false">H14*H9/1000</f>
        <v>120.0573</v>
      </c>
      <c r="I17" s="19" t="n">
        <f aca="false">I14*I9/1000</f>
        <v>128.856</v>
      </c>
      <c r="J17" s="19" t="n">
        <f aca="false">J14*J9/1000</f>
        <v>154.8918</v>
      </c>
      <c r="K17" s="19" t="n">
        <f aca="false">K14*K9/1000</f>
        <v>171.08696</v>
      </c>
      <c r="L17" s="16" t="s">
        <v>84</v>
      </c>
    </row>
    <row r="18" customFormat="false" ht="15" hidden="false" customHeight="false" outlineLevel="0" collapsed="false">
      <c r="B18" s="13" t="s">
        <v>92</v>
      </c>
      <c r="C18" s="14" t="n">
        <f aca="false">C10-Assumptions!C9*C7</f>
        <v>3825.222</v>
      </c>
      <c r="D18" s="14" t="n">
        <f aca="false">D10-Assumptions!D9*D7</f>
        <v>5250</v>
      </c>
      <c r="E18" s="14" t="n">
        <f aca="false">E10-Assumptions!E9*E7</f>
        <v>5686.5</v>
      </c>
      <c r="F18" s="14" t="n">
        <f aca="false">F10-Assumptions!F9*F7</f>
        <v>5350</v>
      </c>
      <c r="G18" s="14" t="n">
        <f aca="false">G10-Assumptions!G9*G7</f>
        <v>5793.6</v>
      </c>
      <c r="H18" s="14" t="n">
        <f aca="false">H10-Assumptions!H9*H7</f>
        <v>5179.2</v>
      </c>
      <c r="I18" s="14" t="n">
        <f aca="false">I10-Assumptions!I9*I7</f>
        <v>5613.4</v>
      </c>
      <c r="J18" s="14" t="n">
        <f aca="false">J10-Assumptions!J9*J7</f>
        <v>5278.8</v>
      </c>
      <c r="K18" s="14" t="n">
        <f aca="false">K10-Assumptions!K9*K7</f>
        <v>5720.08</v>
      </c>
      <c r="L18" s="16" t="s">
        <v>84</v>
      </c>
    </row>
    <row r="19" customFormat="false" ht="15" hidden="false" customHeight="false" outlineLevel="0" collapsed="false">
      <c r="B19" s="13" t="s">
        <v>93</v>
      </c>
      <c r="C19" s="14" t="n">
        <f aca="false">-C18*Assumptions!C11</f>
        <v>-1185.81882</v>
      </c>
      <c r="D19" s="14" t="n">
        <f aca="false">-D18*Assumptions!D11</f>
        <v>-1575</v>
      </c>
      <c r="E19" s="14" t="n">
        <f aca="false">-E18*Assumptions!E11</f>
        <v>-1705.95</v>
      </c>
      <c r="F19" s="14" t="n">
        <f aca="false">-F18*Assumptions!F11</f>
        <v>-1605</v>
      </c>
      <c r="G19" s="14" t="n">
        <f aca="false">-G18*Assumptions!G11</f>
        <v>-1738.08</v>
      </c>
      <c r="H19" s="14" t="n">
        <f aca="false">-H18*Assumptions!H11</f>
        <v>-1553.76</v>
      </c>
      <c r="I19" s="14" t="n">
        <f aca="false">-I18*Assumptions!I11</f>
        <v>-1684.02</v>
      </c>
      <c r="J19" s="14" t="n">
        <f aca="false">-J18*Assumptions!J11</f>
        <v>-1583.64</v>
      </c>
      <c r="K19" s="14" t="n">
        <f aca="false">-K18*Assumptions!K11</f>
        <v>-1716.024</v>
      </c>
      <c r="L19" s="16" t="s">
        <v>84</v>
      </c>
    </row>
    <row r="20" customFormat="false" ht="15" hidden="false" customHeight="false" outlineLevel="0" collapsed="false">
      <c r="B20" s="46" t="s">
        <v>94</v>
      </c>
      <c r="C20" s="47" t="n">
        <f aca="false">C18*(1-Assumptions!C11)</f>
        <v>2639.40318</v>
      </c>
      <c r="D20" s="47" t="n">
        <f aca="false">D18*(1-Assumptions!D11)</f>
        <v>3675</v>
      </c>
      <c r="E20" s="47" t="n">
        <f aca="false">E18*(1-Assumptions!E11)</f>
        <v>3980.55</v>
      </c>
      <c r="F20" s="47" t="n">
        <f aca="false">F18*(1-Assumptions!F11)</f>
        <v>3745</v>
      </c>
      <c r="G20" s="47" t="n">
        <f aca="false">G18*(1-Assumptions!G11)</f>
        <v>4055.52</v>
      </c>
      <c r="H20" s="47" t="n">
        <f aca="false">H18*(1-Assumptions!H11)</f>
        <v>3625.44</v>
      </c>
      <c r="I20" s="47" t="n">
        <f aca="false">I18*(1-Assumptions!I11)</f>
        <v>3929.38</v>
      </c>
      <c r="J20" s="47" t="n">
        <f aca="false">J18*(1-Assumptions!J11)</f>
        <v>3695.16</v>
      </c>
      <c r="K20" s="47" t="n">
        <f aca="false">K18*(1-Assumptions!K11)</f>
        <v>4004.056</v>
      </c>
      <c r="L20" s="16" t="s">
        <v>84</v>
      </c>
    </row>
    <row r="21" customFormat="false" ht="15" hidden="false" customHeight="false" outlineLevel="0" collapsed="false">
      <c r="B21" s="13" t="s">
        <v>95</v>
      </c>
      <c r="C21" s="44" t="s">
        <v>44</v>
      </c>
      <c r="D21" s="44" t="s">
        <v>44</v>
      </c>
      <c r="E21" s="44" t="s">
        <v>44</v>
      </c>
      <c r="F21" s="45" t="n">
        <f aca="false">F20-D20</f>
        <v>70</v>
      </c>
      <c r="G21" s="45" t="n">
        <f aca="false">G20-E20</f>
        <v>74.9700000000003</v>
      </c>
      <c r="H21" s="45" t="n">
        <f aca="false">H20-D20</f>
        <v>-49.5599999999986</v>
      </c>
      <c r="I21" s="45" t="n">
        <f aca="false">I20-E20</f>
        <v>-51.1700000000001</v>
      </c>
      <c r="J21" s="45" t="n">
        <f aca="false">J20-D20</f>
        <v>20.1600000000008</v>
      </c>
      <c r="K21" s="45" t="n">
        <f aca="false">K20-E20</f>
        <v>23.5059999999999</v>
      </c>
      <c r="L21" s="16" t="s">
        <v>84</v>
      </c>
    </row>
    <row r="22" customFormat="false" ht="15" hidden="false" customHeight="false" outlineLevel="0" collapsed="false">
      <c r="B22" s="13" t="s">
        <v>96</v>
      </c>
      <c r="C22" s="14" t="n">
        <f aca="false">C20*Assumptions!C13</f>
        <v>1425.2777172</v>
      </c>
      <c r="D22" s="14" t="n">
        <f aca="false">D20*Assumptions!D13</f>
        <v>1653.75</v>
      </c>
      <c r="E22" s="14" t="n">
        <f aca="false">E20*Assumptions!E13</f>
        <v>1791.2475</v>
      </c>
      <c r="F22" s="14" t="n">
        <f aca="false">F20*Assumptions!F13</f>
        <v>1685.25</v>
      </c>
      <c r="G22" s="14" t="n">
        <f aca="false">G20*Assumptions!G13</f>
        <v>1824.984</v>
      </c>
      <c r="H22" s="14" t="n">
        <f aca="false">H20*Assumptions!H13</f>
        <v>1522.6848</v>
      </c>
      <c r="I22" s="14" t="n">
        <f aca="false">I20*Assumptions!I13</f>
        <v>1650.3396</v>
      </c>
      <c r="J22" s="14" t="n">
        <f aca="false">J20*Assumptions!J13</f>
        <v>1551.9672</v>
      </c>
      <c r="K22" s="14" t="n">
        <f aca="false">K20*Assumptions!K13</f>
        <v>1681.70352</v>
      </c>
      <c r="L22" s="16" t="s">
        <v>84</v>
      </c>
    </row>
    <row r="24" customFormat="false" ht="15" hidden="false" customHeight="false" outlineLevel="0" collapsed="false">
      <c r="B24" s="48" t="s">
        <v>97</v>
      </c>
    </row>
    <row r="25" customFormat="false" ht="15" hidden="false" customHeight="false" outlineLevel="0" collapsed="false">
      <c r="B25" s="13" t="s">
        <v>98</v>
      </c>
      <c r="D25" s="13" t="s">
        <v>99</v>
      </c>
      <c r="E25" s="13"/>
      <c r="F25" s="13"/>
      <c r="G25" s="13"/>
      <c r="H25" s="13"/>
      <c r="L25" s="49" t="s">
        <v>84</v>
      </c>
    </row>
    <row r="26" customFormat="false" ht="15" hidden="false" customHeight="false" outlineLevel="0" collapsed="false">
      <c r="B26" s="13" t="s">
        <v>100</v>
      </c>
      <c r="D26" s="13" t="s">
        <v>101</v>
      </c>
      <c r="E26" s="13"/>
      <c r="F26" s="13"/>
      <c r="G26" s="13"/>
      <c r="H26" s="13"/>
      <c r="L26" s="49" t="s">
        <v>84</v>
      </c>
    </row>
    <row r="27" customFormat="false" ht="15" hidden="false" customHeight="false" outlineLevel="0" collapsed="false">
      <c r="B27" s="13" t="s">
        <v>102</v>
      </c>
      <c r="D27" s="13" t="s">
        <v>103</v>
      </c>
      <c r="E27" s="13"/>
      <c r="F27" s="13"/>
      <c r="G27" s="13"/>
      <c r="H27" s="13"/>
      <c r="L27" s="49" t="s">
        <v>84</v>
      </c>
    </row>
    <row r="28" customFormat="false" ht="15" hidden="false" customHeight="false" outlineLevel="0" collapsed="false">
      <c r="B28" s="13" t="s">
        <v>104</v>
      </c>
      <c r="D28" s="13" t="s">
        <v>105</v>
      </c>
      <c r="E28" s="13"/>
      <c r="F28" s="13"/>
      <c r="G28" s="13"/>
      <c r="H28" s="13"/>
      <c r="L28" s="49" t="s">
        <v>84</v>
      </c>
    </row>
  </sheetData>
  <mergeCells count="8">
    <mergeCell ref="D4:E4"/>
    <mergeCell ref="F4:G4"/>
    <mergeCell ref="H4:I4"/>
    <mergeCell ref="J4:K4"/>
    <mergeCell ref="D25:H25"/>
    <mergeCell ref="D26:H26"/>
    <mergeCell ref="D27:H27"/>
    <mergeCell ref="D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80"/>
    <col collapsed="false" customWidth="true" hidden="false" outlineLevel="0" max="4" min="4" style="1" width="10"/>
  </cols>
  <sheetData>
    <row r="1" customFormat="false" ht="15" hidden="false" customHeight="false" outlineLevel="0" collapsed="false">
      <c r="B1" s="50" t="s">
        <v>106</v>
      </c>
    </row>
    <row r="2" customFormat="false" ht="15" hidden="false" customHeight="false" outlineLevel="0" collapsed="false">
      <c r="B2" s="21" t="s">
        <v>107</v>
      </c>
    </row>
    <row r="4" customFormat="false" ht="15" hidden="false" customHeight="false" outlineLevel="0" collapsed="false">
      <c r="B4" s="11" t="s">
        <v>108</v>
      </c>
      <c r="C4" s="11" t="s">
        <v>109</v>
      </c>
      <c r="D4" s="11" t="s">
        <v>39</v>
      </c>
    </row>
    <row r="5" customFormat="false" ht="45.75" hidden="false" customHeight="true" outlineLevel="0" collapsed="false">
      <c r="B5" s="51" t="s">
        <v>110</v>
      </c>
      <c r="C5" s="51" t="s">
        <v>111</v>
      </c>
      <c r="D5" s="52" t="s">
        <v>112</v>
      </c>
    </row>
    <row r="6" customFormat="false" ht="45.75" hidden="false" customHeight="true" outlineLevel="0" collapsed="false">
      <c r="B6" s="51" t="s">
        <v>110</v>
      </c>
      <c r="C6" s="51" t="s">
        <v>113</v>
      </c>
      <c r="D6" s="52" t="s">
        <v>112</v>
      </c>
    </row>
    <row r="7" customFormat="false" ht="45.75" hidden="false" customHeight="true" outlineLevel="0" collapsed="false">
      <c r="B7" s="51" t="s">
        <v>114</v>
      </c>
      <c r="C7" s="51" t="s">
        <v>115</v>
      </c>
      <c r="D7" s="52" t="s">
        <v>112</v>
      </c>
    </row>
    <row r="8" customFormat="false" ht="45.75" hidden="false" customHeight="true" outlineLevel="0" collapsed="false">
      <c r="B8" s="51" t="s">
        <v>114</v>
      </c>
      <c r="C8" s="51" t="s">
        <v>116</v>
      </c>
      <c r="D8" s="52" t="s">
        <v>112</v>
      </c>
    </row>
    <row r="9" customFormat="false" ht="45.75" hidden="false" customHeight="true" outlineLevel="0" collapsed="false">
      <c r="B9" s="53" t="s">
        <v>117</v>
      </c>
      <c r="C9" s="51" t="s">
        <v>118</v>
      </c>
      <c r="D9" s="52"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2026-06-18T09:56:52Z</dcterms:created>
  <dc:creator>openpyxl</dc:creator>
  <dc:description/>
  <dc:language>en-US</dc:language>
  <cp:lastModifiedBy/>
  <dcterms:modified xsi:type="dcterms:W3CDTF">2026-06-18T09:56:52Z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