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Resilience Scorecard" sheetId="2" state="visible" r:id="rId4"/>
    <sheet name="Macro Deck" sheetId="3" state="visible" r:id="rId5"/>
    <sheet name="SHP Actuals" sheetId="4" state="visible" r:id="rId6"/>
    <sheet name="SPP Actuals" sheetId="5" state="visible" r:id="rId7"/>
    <sheet name="Assumptions" sheetId="6" state="visible" r:id="rId8"/>
    <sheet name="SHP Scenario Model" sheetId="7" state="visible" r:id="rId9"/>
    <sheet name="SPP Scenario Model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<sst xmlns="http://schemas.openxmlformats.org/spreadsheetml/2006/main" count="429" uniqueCount="362">
  <si>
    <t xml:space="preserve">SHOPRITE (SHP) vs THE SPAR GROUP (SPP) — HORMUZ SCENARIO MODEL</t>
  </si>
  <si>
    <t xml:space="preserve">Comparative 12–18 month scenario model (FY2026e–FY2027e)  •  Investment Committee working model  •  17 June 2026  •  Internal research — for information only</t>
  </si>
  <si>
    <t xml:space="preserve">THE QUESTION</t>
  </si>
  <si>
    <t xml:space="preserve">How is each retailer positioned if (A) the Strait of Hormuz stays open, and (B) it closes again and stays shut — and which is better able to weather financial uncertainty?</t>
  </si>
  <si>
    <t xml:space="preserve">HOW TO USE THIS MODEL</t>
  </si>
  <si>
    <t xml:space="preserve">• Change only the BLUE cells (Assumptions tab). BLACK cells are formulas; GREEN cells link across sheets.</t>
  </si>
  <si>
    <t xml:space="preserve">• Three scenarios run side by side for each company: Scenario A (Strait open / peace holds), a middle Base case, and Scenario B (Strait closes again and stays shut).</t>
  </si>
  <si>
    <t xml:space="preserve">• FY2025A is the anchor for both companies. Reported actuals are on the 'SHP Actuals' and 'SPP Actuals' tabs (sacred — do not edit).</t>
  </si>
  <si>
    <t xml:space="preserve">• 'Macro Deck' holds the dated oil / rand / rates / fuel context shared by both scenario sets.</t>
  </si>
  <si>
    <t xml:space="preserve">• 'Resilience Scorecard' is the answer in one view: a side-by-side ranking of how each weathers Scenario B (the stress case).</t>
  </si>
  <si>
    <t xml:space="preserve">METHODOLOGY (transparent, driver-based)</t>
  </si>
  <si>
    <t xml:space="preserve">• SHP: Sale of merchandise = prior × (1 + selling-price inflation + real volume/space). Trading profit = sales × trading margin. Earnings (e) = trading profit − net finance − tax (27%), over a calibrated effective share count so FY2025A HEPS ties to the reported 1,367.2c.</t>
  </si>
  <si>
    <t xml:space="preserve">• SPP: Turnover = prior × (1 + turnover growth). Gross &amp; operating profit = turnover × margin. Continuing HEPS (e) is a scenario input anchored on the two ACTUAL prints (FY2025 795.8c; H1 FY2026 199.9c) — SPP's reported bridge carries large extraordinary/discontinued items, so HEPS is modelled directly rather than fabricating a false-precision bridge.</t>
  </si>
  <si>
    <t xml:space="preserve">• Net debt / leverage and net finance costs are modelled explicitly for SPP because de-gearing IS its equity thesis and the rate path is the key swing.</t>
  </si>
  <si>
    <t xml:space="preserve">• All forward figures are analyst estimates (e), NOT company guidance. Scenario macro levels are analyst assumptions, not forecasts.</t>
  </si>
  <si>
    <t xml:space="preserve">THE ANCHORS (reported actuals, continuing operations)</t>
  </si>
  <si>
    <t xml:space="preserve">Metric</t>
  </si>
  <si>
    <t xml:space="preserve">Shoprite (SHP) FY2025</t>
  </si>
  <si>
    <t xml:space="preserve">The SPAR Group (SPP) FY2025</t>
  </si>
  <si>
    <t xml:space="preserve">Revenue / turnover</t>
  </si>
  <si>
    <t xml:space="preserve">Sale of merch. R252.7bn (+8.9%)</t>
  </si>
  <si>
    <t xml:space="preserve">Turnover R132.4bn (+1.6%)</t>
  </si>
  <si>
    <t xml:space="preserve">Trading / operating margin</t>
  </si>
  <si>
    <t xml:space="preserve">Trading margin 5.9% (+40bps)</t>
  </si>
  <si>
    <t xml:space="preserve">Op margin (ex-extra) 2.1% (~flat)</t>
  </si>
  <si>
    <t xml:space="preserve">Continuing HEPS (diluted)</t>
  </si>
  <si>
    <t xml:space="preserve">1,367.2c (+15.8%)</t>
  </si>
  <si>
    <t xml:space="preserve">795.4c (−9.0%)</t>
  </si>
  <si>
    <t xml:space="preserve">H1 FY2026 continuing HEPS (actual)</t>
  </si>
  <si>
    <t xml:space="preserve">708.9c (+7.9%)</t>
  </si>
  <si>
    <t xml:space="preserve">199.9c (−55.5%)</t>
  </si>
  <si>
    <t xml:space="preserve">Dividend (FY2025)</t>
  </si>
  <si>
    <t xml:space="preserve">781c total (+9.7%), 1.75x cover</t>
  </si>
  <si>
    <t xml:space="preserve">Nil (2nd consecutive year)</t>
  </si>
  <si>
    <t xml:space="preserve">Balance sheet</t>
  </si>
  <si>
    <t xml:space="preserve">NET CASH R8.1bn (R7.0bn debt)</t>
  </si>
  <si>
    <t xml:space="preserve">NET DEBT R5.4bn (1.74x leverage)</t>
  </si>
  <si>
    <t xml:space="preserve">Returns</t>
  </si>
  <si>
    <t xml:space="preserve">ROE 26.7% / ROIC 19.4%</t>
  </si>
  <si>
    <t xml:space="preserve">SA interest cover 4.50x</t>
  </si>
  <si>
    <t xml:space="preserve">Share price / valuation (mid-Jun 2026, web)</t>
  </si>
  <si>
    <t xml:space="preserve">~R295, P/E ~20.2x, yield 2.79%</t>
  </si>
  <si>
    <t xml:space="preserve">~R60–65, down ~30% over 90 days</t>
  </si>
  <si>
    <t xml:space="preserve">SOURCES</t>
  </si>
  <si>
    <t xml:space="preserve">SH1  Shoprite reviewed results, 52 weeks ended 29 June 2025 (held locally). companies/shoprite/annual-reports/shoprite-annual-report-fy2025-20250902.txt</t>
  </si>
  <si>
    <t xml:space="preserve">SP1  SPAR audited group results, 52 weeks ended 26 Sept 2025 — SENS 8 Dec 2025 (held locally).</t>
  </si>
  <si>
    <t xml:space="preserve">SP2  SPAR H1 FY2026 trading statement — SENS 29 May 2026; full interim results published 10 June 2026 (HEPS 199.9c, −55.5%; op margin 1.1%; no dividend).</t>
  </si>
  <si>
    <t xml:space="preserve">Macro (oil/rand/rates/fuel/Hormuz): web search, 17 June 2026 — see 'Macro Deck' for dated links.</t>
  </si>
  <si>
    <t xml:space="preserve">Companion note: Shoprite_vs_Spar_Hormuz_Comparative_Outlook_Jun2026.docx</t>
  </si>
  <si>
    <t xml:space="preserve">For informational purposes only — not investment advice. ZAR. SHP figures reviewed (FY2024 restated IFRS 5); SPP FY2025 audited. Share prices via web search may be delayed (no live JSE feed). Confirm dealing-period status before acting.</t>
  </si>
  <si>
    <t xml:space="preserve">RESILIENCE SCORECARD — who weathers financial uncertainty better?</t>
  </si>
  <si>
    <t xml:space="preserve">Score 1 (most fragile) → 5 (most resilient). Scored primarily for Scenario B (Strait shut / oil shock persists) — the stress test. Analyst judgement; see other tabs for the underlying numbers.</t>
  </si>
  <si>
    <t xml:space="preserve">Dimension</t>
  </si>
  <si>
    <t xml:space="preserve">SHP</t>
  </si>
  <si>
    <t xml:space="preserve">SPP</t>
  </si>
  <si>
    <t xml:space="preserve">Why SHP</t>
  </si>
  <si>
    <t xml:space="preserve">Why SPP</t>
  </si>
  <si>
    <t xml:space="preserve">Balance sheet strength</t>
  </si>
  <si>
    <t xml:space="preserve">Net CASH R8.1bn; only ~US$7m USD debt. Can fund price cuts &amp; store growth through a downturn.</t>
  </si>
  <si>
    <t xml:space="preserve">Net DEBT R5.4bn at 1.74x; de-gearing IS the equity thesis and a high-rate path stalls it.</t>
  </si>
  <si>
    <t xml:space="preserve">Earnings momentum entering</t>
  </si>
  <si>
    <t xml:space="preserve">FY2025 HEPS +15.8%; H1 FY2026 +7.9% — growing into the shock.</t>
  </si>
  <si>
    <t xml:space="preserve">H1 FY2026 HEPS −55.5% (199.9c); already in acute distress before any oil shock.</t>
  </si>
  <si>
    <t xml:space="preserve">Margin level &amp; direction</t>
  </si>
  <si>
    <t xml:space="preserve">Trading margin 5.9% and expanding (+40bps); operating leverage intact.</t>
  </si>
  <si>
    <t xml:space="preserve">Operating margin halved to 1.1% at H1 (from 2.1%); thin and compressing.</t>
  </si>
  <si>
    <t xml:space="preserve">Model under consumer stress</t>
  </si>
  <si>
    <t xml:space="preserve">Mass-market VALUE leader (Shoprite, Usave) — the prime trade-down WINNER as shoppers downgrade.</t>
  </si>
  <si>
    <t xml:space="preserve">Mid-market franchise grocers LOSE share to value chains; trade-down flows away from SPAR.</t>
  </si>
  <si>
    <t xml:space="preserve">Distribution / fuel exposure</t>
  </si>
  <si>
    <t xml:space="preserve">Owned fleet; diesel only R335m in FY2025; scale &amp; efficiency cushion a fuel rise.</t>
  </si>
  <si>
    <t xml:space="preserve">Wholesale/distribution model — fuel is core cost-to-serve; KZN DC already wounded; flagged as H2 headwind.</t>
  </si>
  <si>
    <t xml:space="preserve">Counterparty / credit risk</t>
  </si>
  <si>
    <t xml:space="preserve">Largely cash-based retail; limited customer credit exposure.</t>
  </si>
  <si>
    <t xml:space="preserve">Finances independent retailers; debtor impairments already rising — a retailer-solvency cycle would bite.</t>
  </si>
  <si>
    <t xml:space="preserve">Rand / FX positioning</t>
  </si>
  <si>
    <t xml:space="preserve">~85% RSA, minimal FX — little translation upside in a weak-rand world.</t>
  </si>
  <si>
    <t xml:space="preserve">Ireland (BWG, €1.74bn) is a genuine rand hedge: weak rand flatters euro earnings (~270bps). SPP's one edge.</t>
  </si>
  <si>
    <t xml:space="preserve">Management / execution stability</t>
  </si>
  <si>
    <t xml:space="preserve">Stable, proven team; consistent share-gain track record.</t>
  </si>
  <si>
    <t xml:space="preserve">Entire C-suite new since 1 Mar 2026; KZN + SAP execution risk; 61% pay revolt.</t>
  </si>
  <si>
    <t xml:space="preserve">Dividend resilience</t>
  </si>
  <si>
    <t xml:space="preserve">781c (+9.7%) at 1.75x cover; sustainable through the cycle.</t>
  </si>
  <si>
    <t xml:space="preserve">Nil for two straight years; no timeline; FY2026 setback pushes resumption further out.</t>
  </si>
  <si>
    <t xml:space="preserve">Valuation cushion</t>
  </si>
  <si>
    <t xml:space="preserve">Premium ~20x / 2.79% yield — quality, but vulnerable to de-rating if growth stalls.</t>
  </si>
  <si>
    <t xml:space="preserve">Cheap (~R60–65, −30% in 90d) but a value-trap risk until the turnaround proves out.</t>
  </si>
  <si>
    <t xml:space="preserve">AVERAGE SCORE</t>
  </si>
  <si>
    <t xml:space="preserve">Shoprite scores higher on every structural axis except FX.</t>
  </si>
  <si>
    <t xml:space="preserve">SPAR's only relative edge is the euro (Ireland) rand hedge.</t>
  </si>
  <si>
    <t xml:space="preserve">VERDICT</t>
  </si>
  <si>
    <t xml:space="preserve">Yes — Shoprite is clearly better positioned than The SPAR Group to weather financial uncertainty, in BOTH scenarios. In Scenario A (Strait open) both improve: Shoprite is a steady compounder that may modestly LAG a cyclical relief rally, while SPAR — geared and distressed — has the higher upside torque IF its self-help (KZN, SAP, cost, retailer loyalty) delivers; that is a higher-risk recovery bet, not resilience. In Scenario B (Strait shut) the gap is widest: Shoprite is a defensive OUTPERFORMER (non-discretionary food, value/trade-down leader, net cash funds a price war), whereas the same oil shock stacks rising rates, a stalled de-gearing, a higher legacy-debt drag, fuel pressure on a distribution-heavy cost base, trade-down OUT of its independents and rising retailer/debtor risk on top of an already-halved margin and a suspended dividend. SPAR is the more fragile balance sheet meeting the harder macro. Own Shoprite for resilience; SPAR is a leveraged recovery option that needs BOTH the macro (A) and execution to go right.</t>
  </si>
  <si>
    <t xml:space="preserve">MACRO DECK — Strait of Hormuz, oil, rand, rates &amp; fuel (as at 17 June 2026)</t>
  </si>
  <si>
    <t xml:space="preserve">Shared scenario context. Levels via web search 17 Jun 2026; may be delayed/secondary. These drive BOTH companies' scenario assumptions.</t>
  </si>
  <si>
    <t xml:space="preserve">STRAIT OF HORMUZ</t>
  </si>
  <si>
    <t xml:space="preserve">Status (17 Jun 2026)</t>
  </si>
  <si>
    <t xml:space="preserve">Closed — day ~108</t>
  </si>
  <si>
    <t xml:space="preserve">Largely shut since 28 Feb 2026; straits.live / NBC tracker</t>
  </si>
  <si>
    <t xml:space="preserve">Normal vs current transits</t>
  </si>
  <si>
    <t xml:space="preserve">~94/day → ~0/day</t>
  </si>
  <si>
    <t xml:space="preserve">Only ~7 ships since reopening deal; NBC / MarineTraffic</t>
  </si>
  <si>
    <t xml:space="preserve">Diplomatic track</t>
  </si>
  <si>
    <t xml:space="preserve">US &amp; Iran committed to reopen</t>
  </si>
  <si>
    <t xml:space="preserve">Bloomberg, 16 Jun 2026</t>
  </si>
  <si>
    <t xml:space="preserve">Frictions to reopening</t>
  </si>
  <si>
    <t xml:space="preserve">~550 ships stranded; mines; war-risk premium ~2.5% hull</t>
  </si>
  <si>
    <t xml:space="preserve">Bloomberg / Al Jazeera, 16–17 Jun 2026</t>
  </si>
  <si>
    <t xml:space="preserve">BRENT CRUDE (US$/bbl)</t>
  </si>
  <si>
    <t xml:space="preserve">March 2026 peak</t>
  </si>
  <si>
    <t xml:space="preserve">$110+</t>
  </si>
  <si>
    <t xml:space="preserve">Companion note</t>
  </si>
  <si>
    <t xml:space="preserve">1 June 2026</t>
  </si>
  <si>
    <t xml:space="preserve">$96.42</t>
  </si>
  <si>
    <t xml:space="preserve">Fortune</t>
  </si>
  <si>
    <t xml:space="preserve">17 June 2026 (spot)</t>
  </si>
  <si>
    <t xml:space="preserve">~$79–81</t>
  </si>
  <si>
    <t xml:space="preserve">TradingEconomics / Fortune (reopening priced in)</t>
  </si>
  <si>
    <t xml:space="preserve">EIA STEO 2026 / 2027 avg</t>
  </si>
  <si>
    <t xml:space="preserve">$95 / $79</t>
  </si>
  <si>
    <t xml:space="preserve">EIA STEO, 9 Jun 2026</t>
  </si>
  <si>
    <t xml:space="preserve">SOUTH AFRICA — RAND, RATES, FUEL</t>
  </si>
  <si>
    <t xml:space="preserve">USD/ZAR (mid-June)</t>
  </si>
  <si>
    <t xml:space="preserve">~16.3</t>
  </si>
  <si>
    <t xml:space="preserve">TradingEconomics / FocusEconomics</t>
  </si>
  <si>
    <t xml:space="preserve">SARB repo rate</t>
  </si>
  <si>
    <t xml:space="preserve">7.00% (hiked 25bp 28 May 2026)</t>
  </si>
  <si>
    <t xml:space="preserve">First hike in 3 years; oil-shock driven</t>
  </si>
  <si>
    <t xml:space="preserve">SARB scenario paths (end-2026)</t>
  </si>
  <si>
    <t xml:space="preserve">~6.67% intermediate / ~8.17% severe</t>
  </si>
  <si>
    <t xml:space="preserve">SARB / BusinessTech</t>
  </si>
  <si>
    <t xml:space="preserve">Petrol 95 inland (Jun 2026)</t>
  </si>
  <si>
    <t xml:space="preserve">Record R28.06/l</t>
  </si>
  <si>
    <t xml:space="preserve">Incl. fuel-levy relief cut; IOL / gov.za</t>
  </si>
  <si>
    <t xml:space="preserve">Diesel (Jun 2026)</t>
  </si>
  <si>
    <t xml:space="preserve">~R27.92–28.76</t>
  </si>
  <si>
    <t xml:space="preserve">Levy/slate timing — distribution hit is back-loaded</t>
  </si>
  <si>
    <t xml:space="preserve">Why it matters: petrol = the consumer's wallet (both retailers); diesel = each group's own distribution cost. SPAR is a wholesale/distribution business, so fuel is a larger share of its cost-to-serve; it explicitly flagged 'rising fuel costs (logistics/distribution)' as an H2 FY2026 headwind. A sustained closure reverses the diesel tailwind with a lag and lifts finance costs via the SARB — hurting SPAR's net-debt position more than SHP's net-cash one.</t>
  </si>
  <si>
    <t xml:space="preserve">SHOPRITE — FY2025 REPORTED ACTUALS (continuing operations)</t>
  </si>
  <si>
    <t xml:space="preserve">Reviewed (not audited). FY2024 restated for IFRS 5. Source: SH1. SACRED — do not edit.</t>
  </si>
  <si>
    <t xml:space="preserve">FY2025</t>
  </si>
  <si>
    <t xml:space="preserve">FY2024 (restated)</t>
  </si>
  <si>
    <t xml:space="preserve">Change</t>
  </si>
  <si>
    <t xml:space="preserve">Source / note</t>
  </si>
  <si>
    <t xml:space="preserve">Sale of merchandise</t>
  </si>
  <si>
    <t xml:space="preserve">R252.7bn</t>
  </si>
  <si>
    <t xml:space="preserve">R232.1bn</t>
  </si>
  <si>
    <t xml:space="preserve">+8.9%</t>
  </si>
  <si>
    <t xml:space="preserve">SH1, key info</t>
  </si>
  <si>
    <t xml:space="preserve">Group revenue</t>
  </si>
  <si>
    <t xml:space="preserve">R256.7bn</t>
  </si>
  <si>
    <t xml:space="preserve">R236.3bn</t>
  </si>
  <si>
    <t xml:space="preserve">+8.6%</t>
  </si>
  <si>
    <t xml:space="preserve">Like-for-like sales</t>
  </si>
  <si>
    <t xml:space="preserve">+4.6%</t>
  </si>
  <si>
    <t xml:space="preserve">—</t>
  </si>
  <si>
    <t xml:space="preserve">SH1 (group +4.8%)</t>
  </si>
  <si>
    <t xml:space="preserve">Gross profit margin</t>
  </si>
  <si>
    <t xml:space="preserve">24.3%</t>
  </si>
  <si>
    <t xml:space="preserve">23.9%</t>
  </si>
  <si>
    <t xml:space="preserve">+40 bps</t>
  </si>
  <si>
    <t xml:space="preserve">SH1, gross margin</t>
  </si>
  <si>
    <t xml:space="preserve">Trading profit</t>
  </si>
  <si>
    <t xml:space="preserve">R15.0bn</t>
  </si>
  <si>
    <t xml:space="preserve">+16.6%</t>
  </si>
  <si>
    <t xml:space="preserve">SH1, trading profit</t>
  </si>
  <si>
    <t xml:space="preserve">Trading margin</t>
  </si>
  <si>
    <t xml:space="preserve">5.9%</t>
  </si>
  <si>
    <t xml:space="preserve">5.5%</t>
  </si>
  <si>
    <t xml:space="preserve">Diluted HEPS (continuing), c</t>
  </si>
  <si>
    <t xml:space="preserve">1,367.2</t>
  </si>
  <si>
    <t xml:space="preserve">1,180.2</t>
  </si>
  <si>
    <t xml:space="preserve">+15.8%</t>
  </si>
  <si>
    <t xml:space="preserve">SH1, key info / EPS</t>
  </si>
  <si>
    <t xml:space="preserve">Adjusted DHEPS, c</t>
  </si>
  <si>
    <t xml:space="preserve">1,410.2</t>
  </si>
  <si>
    <t xml:space="preserve">1,213.3</t>
  </si>
  <si>
    <t xml:space="preserve">+16.2%</t>
  </si>
  <si>
    <t xml:space="preserve">SH1, EPS (pro forma)</t>
  </si>
  <si>
    <t xml:space="preserve">DPS total, c</t>
  </si>
  <si>
    <t xml:space="preserve">781.0</t>
  </si>
  <si>
    <t xml:space="preserve">712.0</t>
  </si>
  <si>
    <t xml:space="preserve">+9.7%</t>
  </si>
  <si>
    <t xml:space="preserve">SH1, dividend decl.</t>
  </si>
  <si>
    <t xml:space="preserve">Dividend cover, x</t>
  </si>
  <si>
    <t xml:space="preserve">1.75</t>
  </si>
  <si>
    <t xml:space="preserve">policy</t>
  </si>
  <si>
    <t xml:space="preserve">Net cash</t>
  </si>
  <si>
    <t xml:space="preserve">R8.1bn</t>
  </si>
  <si>
    <t xml:space="preserve">R8.84bn</t>
  </si>
  <si>
    <t xml:space="preserve">−R0.75bn</t>
  </si>
  <si>
    <t xml:space="preserve">SH1, net cash</t>
  </si>
  <si>
    <t xml:space="preserve">Total borrowings (mostly ZAR)</t>
  </si>
  <si>
    <t xml:space="preserve">R7.0bn</t>
  </si>
  <si>
    <t xml:space="preserve">R6.0bn</t>
  </si>
  <si>
    <t xml:space="preserve">+R1.0bn</t>
  </si>
  <si>
    <t xml:space="preserve">SH1, borrowings</t>
  </si>
  <si>
    <t xml:space="preserve">Net finance costs</t>
  </si>
  <si>
    <t xml:space="preserve">R4.8bn</t>
  </si>
  <si>
    <t xml:space="preserve">R3.6bn</t>
  </si>
  <si>
    <t xml:space="preserve">+30.9%</t>
  </si>
  <si>
    <t xml:space="preserve">SH1, finance costs</t>
  </si>
  <si>
    <t xml:space="preserve">Diesel cost (load-shedding)</t>
  </si>
  <si>
    <t xml:space="preserve">R335m</t>
  </si>
  <si>
    <t xml:space="preserve">R810m</t>
  </si>
  <si>
    <t xml:space="preserve">−58.6% (e)</t>
  </si>
  <si>
    <t xml:space="preserve">SH1; derived</t>
  </si>
  <si>
    <t xml:space="preserve">Supermarkets RSA sale of merch.</t>
  </si>
  <si>
    <t xml:space="preserve">R213.5bn</t>
  </si>
  <si>
    <t xml:space="preserve">+9.5%</t>
  </si>
  <si>
    <t xml:space="preserve">SH1, segments</t>
  </si>
  <si>
    <t xml:space="preserve">Sixty60 on-demand sales</t>
  </si>
  <si>
    <t xml:space="preserve">R18.9bn</t>
  </si>
  <si>
    <t xml:space="preserve">+47.7%</t>
  </si>
  <si>
    <t xml:space="preserve">SH1, digital</t>
  </si>
  <si>
    <t xml:space="preserve">Stores (continuing)</t>
  </si>
  <si>
    <t xml:space="preserve">3,478</t>
  </si>
  <si>
    <t xml:space="preserve">3,197</t>
  </si>
  <si>
    <t xml:space="preserve">+281</t>
  </si>
  <si>
    <t xml:space="preserve">ROE / ROIC / WACC</t>
  </si>
  <si>
    <t xml:space="preserve">26.7% / 19.4% / 13.5%</t>
  </si>
  <si>
    <t xml:space="preserve">SH1, returns</t>
  </si>
  <si>
    <t xml:space="preserve">H1 FY2026 (26 wks to 28 Dec 2025): revenue R138.85bn (+7.1%), trading profit R7.73bn (+5.9%), diluted HEPS (cont.) 708.9c (+7.9%), interim DPS 307c, Sixty60 R11.9bn (+34.6%). Public SENS / trading update.</t>
  </si>
  <si>
    <t xml:space="preserve">THE SPAR GROUP — FY2025 &amp; H1 FY2026 REPORTED ACTUALS (continuing ops)</t>
  </si>
  <si>
    <t xml:space="preserve">FY2025 audited (SP1, SENS 8 Dec 2025). H1 FY2026 actual (SP2, published 10 Jun 2026). SACRED — do not edit.</t>
  </si>
  <si>
    <t xml:space="preserve">FY2024</t>
  </si>
  <si>
    <t xml:space="preserve">Turnover (continuing, comparable)</t>
  </si>
  <si>
    <t xml:space="preserve">R132,410m</t>
  </si>
  <si>
    <t xml:space="preserve">R130,350m</t>
  </si>
  <si>
    <t xml:space="preserve">+1.6%</t>
  </si>
  <si>
    <t xml:space="preserve">SP1, salient features (364d)</t>
  </si>
  <si>
    <t xml:space="preserve">Gross profit (continuing)</t>
  </si>
  <si>
    <t xml:space="preserve">R14,239m</t>
  </si>
  <si>
    <t xml:space="preserve">R13,784m (e)</t>
  </si>
  <si>
    <t xml:space="preserve">+3.3%</t>
  </si>
  <si>
    <t xml:space="preserve">SP1, segment analysis</t>
  </si>
  <si>
    <t xml:space="preserve">Gross margin</t>
  </si>
  <si>
    <t xml:space="preserve">10.8%</t>
  </si>
  <si>
    <t xml:space="preserve">10.6%</t>
  </si>
  <si>
    <t xml:space="preserve">+20 bps</t>
  </si>
  <si>
    <t xml:space="preserve">Operating profit (ex-extraordinary)</t>
  </si>
  <si>
    <t xml:space="preserve">R2,782m</t>
  </si>
  <si>
    <t xml:space="preserve">R2,720m</t>
  </si>
  <si>
    <t xml:space="preserve">+2.3%</t>
  </si>
  <si>
    <t xml:space="preserve">Operating margin</t>
  </si>
  <si>
    <t xml:space="preserve">2.1%</t>
  </si>
  <si>
    <t xml:space="preserve">~0 bps</t>
  </si>
  <si>
    <t xml:space="preserve">Profit before tax (continuing)</t>
  </si>
  <si>
    <t xml:space="preserve">R1,341m</t>
  </si>
  <si>
    <t xml:space="preserve">R2,038m (e)</t>
  </si>
  <si>
    <t xml:space="preserve">−34.2%</t>
  </si>
  <si>
    <t xml:space="preserve">EPS (continuing), c</t>
  </si>
  <si>
    <t xml:space="preserve">452.7</t>
  </si>
  <si>
    <t xml:space="preserve">812.4</t>
  </si>
  <si>
    <t xml:space="preserve">−44.3%</t>
  </si>
  <si>
    <t xml:space="preserve">SP1, salient features</t>
  </si>
  <si>
    <t xml:space="preserve">HEPS (continuing), c</t>
  </si>
  <si>
    <t xml:space="preserve">795.8</t>
  </si>
  <si>
    <t xml:space="preserve">874.0</t>
  </si>
  <si>
    <t xml:space="preserve">−8.9%</t>
  </si>
  <si>
    <t xml:space="preserve">795.4</t>
  </si>
  <si>
    <t xml:space="preserve">873.7</t>
  </si>
  <si>
    <t xml:space="preserve">−9.0%</t>
  </si>
  <si>
    <t xml:space="preserve">DPS, c</t>
  </si>
  <si>
    <t xml:space="preserve">0.0</t>
  </si>
  <si>
    <t xml:space="preserve">nil</t>
  </si>
  <si>
    <t xml:space="preserve">SP1, distribution</t>
  </si>
  <si>
    <t xml:space="preserve">Net debt</t>
  </si>
  <si>
    <t xml:space="preserve">R5,400m</t>
  </si>
  <si>
    <t xml:space="preserve">R9,100m</t>
  </si>
  <si>
    <t xml:space="preserve">−40.0%</t>
  </si>
  <si>
    <t xml:space="preserve">SP1, key highlights</t>
  </si>
  <si>
    <t xml:space="preserve">Net debt leverage, x</t>
  </si>
  <si>
    <t xml:space="preserve">1.74</t>
  </si>
  <si>
    <t xml:space="preserve">2.41</t>
  </si>
  <si>
    <t xml:space="preserve">−0.67x</t>
  </si>
  <si>
    <t xml:space="preserve">SA interest cover, x</t>
  </si>
  <si>
    <t xml:space="preserve">4.50</t>
  </si>
  <si>
    <t xml:space="preserve">SP1, performance notes</t>
  </si>
  <si>
    <t xml:space="preserve">Cash from total operations</t>
  </si>
  <si>
    <t xml:space="preserve">R5,450m</t>
  </si>
  <si>
    <t xml:space="preserve">R4,810m</t>
  </si>
  <si>
    <t xml:space="preserve">+13.3%</t>
  </si>
  <si>
    <t xml:space="preserve">Retailer loyalty</t>
  </si>
  <si>
    <t xml:space="preserve">78.6%</t>
  </si>
  <si>
    <t xml:space="preserve">79.2%</t>
  </si>
  <si>
    <t xml:space="preserve">−0.6pp</t>
  </si>
  <si>
    <t xml:space="preserve">Ireland (BWG) turnover</t>
  </si>
  <si>
    <t xml:space="preserve">€1,740.5m</t>
  </si>
  <si>
    <t xml:space="preserve">€1,730m (e)</t>
  </si>
  <si>
    <t xml:space="preserve">+0.6%</t>
  </si>
  <si>
    <t xml:space="preserve">SP1, segment (EUR)</t>
  </si>
  <si>
    <t xml:space="preserve">Ireland operating margin</t>
  </si>
  <si>
    <t xml:space="preserve">3.3%</t>
  </si>
  <si>
    <t xml:space="preserve">SP1, segment</t>
  </si>
  <si>
    <t xml:space="preserve">H1 FY2026 ACTUAL (26 wks to 27 Mar 2026, published 10 Jun 2026): continuing HEPS 199.9c (−55.5%); turnover R67.7bn (+2.1%, below inflation); operating profit R730.7m (R882.0m ex-extraordinary), margin 1.1% (1.3% ex-extra) vs 2.1% pcp; NO dividend, no timeline for resumption. Drivers: SA margin compression, KZN distribution-centre disruption, elevated debtor impairments, Black Friday promo cost. Net debt rose on seasonal working capital; all covenants met. Source SP2.</t>
  </si>
  <si>
    <t xml:space="preserve">Statutory total (incl. discontinued ops) FY2025 was a LOSS on Switzerland/AWG impairments (press: ~R5.2bn impairments, group loss ~R4bn — verify vs AFS). The table above is the continuing, comparable basis SPAR presents as the cleaner read.</t>
  </si>
  <si>
    <t xml:space="preserve">SCENARIO ASSUMPTIONS — SHP &amp; SPP</t>
  </si>
  <si>
    <t xml:space="preserve">BLUE = input you can change. Forward figures are analyst estimates (e); macro levels are assumptions, not forecasts. Actuals anchored to the 'Actuals' tabs.</t>
  </si>
  <si>
    <t xml:space="preserve">SHARED MACRO (analyst scenario assumptions — see Macro Deck)</t>
  </si>
  <si>
    <t xml:space="preserve">FY2025A</t>
  </si>
  <si>
    <t xml:space="preserve">A: Strait open
2026e</t>
  </si>
  <si>
    <t xml:space="preserve">A: Strait open
2027e</t>
  </si>
  <si>
    <t xml:space="preserve">Base
2026e</t>
  </si>
  <si>
    <t xml:space="preserve">Base
2027e</t>
  </si>
  <si>
    <t xml:space="preserve">B: Strait shut
2026e</t>
  </si>
  <si>
    <t xml:space="preserve">B: Strait shut
2027e</t>
  </si>
  <si>
    <t xml:space="preserve">Brent crude (US$/bbl, period avg)</t>
  </si>
  <si>
    <t xml:space="preserve">USD/ZAR (period avg)</t>
  </si>
  <si>
    <t xml:space="preserve">SARB repo rate (%, period end)</t>
  </si>
  <si>
    <t xml:space="preserve">Inland 95 petrol (R/l, period end)</t>
  </si>
  <si>
    <t xml:space="preserve">SHOPRITE (SHP) — drivers</t>
  </si>
  <si>
    <t xml:space="preserve">Internal selling-price inflation (%)</t>
  </si>
  <si>
    <t xml:space="preserve">Real volume + space growth (%)</t>
  </si>
  <si>
    <t xml:space="preserve">Gross margin (%)</t>
  </si>
  <si>
    <t xml:space="preserve">Trading margin (%)</t>
  </si>
  <si>
    <t xml:space="preserve">Net finance costs (R'm)</t>
  </si>
  <si>
    <t xml:space="preserve">Effective tax rate (%)</t>
  </si>
  <si>
    <t xml:space="preserve">Dividend cover (x)</t>
  </si>
  <si>
    <t xml:space="preserve">Group rev / sale-of-merch ratio (x)</t>
  </si>
  <si>
    <t xml:space="preserve">Effective diluted shares (m) — calibrated (e)</t>
  </si>
  <si>
    <t xml:space="preserve">THE SPAR GROUP (SPP) — drivers</t>
  </si>
  <si>
    <t xml:space="preserve">Turnover growth (%)</t>
  </si>
  <si>
    <t xml:space="preserve">Operating margin, ex-extraordinary (%)</t>
  </si>
  <si>
    <t xml:space="preserve">Net finance costs (R'm) (e)</t>
  </si>
  <si>
    <t xml:space="preserve">Continuing HEPS (e), cents — anchored on actuals</t>
  </si>
  <si>
    <t xml:space="preserve">Net debt (R'm)</t>
  </si>
  <si>
    <t xml:space="preserve">Net debt leverage (x)</t>
  </si>
  <si>
    <t xml:space="preserve">DPS (e), cents</t>
  </si>
  <si>
    <t xml:space="preserve">Shares in issue (m) — calibrated (e)</t>
  </si>
  <si>
    <t xml:space="preserve">SPP rationale: H1 FY2026 actual continuing HEPS was 199.9c (−55.5%); FY2026 lands well below FY2025's 795.8c in every scenario. Scenario A = de-gearing resumes (lower rates), fuel relief, consumer recovery + self-help (KZN/SAP/cost) → operating margin rebuilds toward FY2025 and HEPS recovers; Scenario B = higher rates stall de-gearing and lift the legacy ZAR-debt drag, fuel hits the distribution-heavy cost base and the wounded KZN DC, consumer squeeze drives trade-down OUT of SPAR independents and raises retailer/debtor risk → margin stays suppressed, dividend stays nil. Net finance costs and net-debt path are modelled explicitly because de-gearing IS the equity thesis.</t>
  </si>
  <si>
    <t xml:space="preserve">SHOPRITE — SCENARIO MODEL (FY2026e–FY2027e)</t>
  </si>
  <si>
    <t xml:space="preserve">BLACK = formula • GREEN = link to Assumptions. (e) = analyst estimate. FY2025A is a driver-reproduction of the actuals (ties to reported 1,367.2c).</t>
  </si>
  <si>
    <t xml:space="preserve">R'm unless stated</t>
  </si>
  <si>
    <t xml:space="preserve">A: open 2026e</t>
  </si>
  <si>
    <t xml:space="preserve">A: open 2027e</t>
  </si>
  <si>
    <t xml:space="preserve">Base 2026e</t>
  </si>
  <si>
    <t xml:space="preserve">Base 2027e</t>
  </si>
  <si>
    <t xml:space="preserve">B: shut 2026e</t>
  </si>
  <si>
    <t xml:space="preserve">B: shut 2027e</t>
  </si>
  <si>
    <t xml:space="preserve">  Sale-of-merch growth (%)</t>
  </si>
  <si>
    <t xml:space="preserve">Group revenue (e)</t>
  </si>
  <si>
    <t xml:space="preserve">Gross profit</t>
  </si>
  <si>
    <t xml:space="preserve">  Gross margin (%)</t>
  </si>
  <si>
    <t xml:space="preserve">  Trading margin (%)</t>
  </si>
  <si>
    <t xml:space="preserve">less: Net finance costs</t>
  </si>
  <si>
    <t xml:space="preserve">Profit before tax — proxy (e)</t>
  </si>
  <si>
    <t xml:space="preserve">less: Tax (e)</t>
  </si>
  <si>
    <t xml:space="preserve">Earnings — proxy (e)</t>
  </si>
  <si>
    <t xml:space="preserve">Diluted HEPS — proxy (e), cents</t>
  </si>
  <si>
    <t xml:space="preserve">  HEPS growth (%)</t>
  </si>
  <si>
    <t xml:space="preserve">DPS — total (e), cents</t>
  </si>
  <si>
    <t xml:space="preserve">Read: Scenario A HEPS growth lands in the low-teens (business improves); Base mid-to-high single → low-teens; Scenario B decelerates to mid/high-single-digit. Trading margin expands in A, holds/contracts in B. Neither breaks the investment case; B is the tougher BUSINESS but SHP's stronger RELATIVE (defensive) trade — see Resilience Scorecard.</t>
  </si>
  <si>
    <t xml:space="preserve">THE SPAR GROUP — SCENARIO MODEL (FY2026e–FY2027e)</t>
  </si>
  <si>
    <t xml:space="preserve">BLACK = formula • GREEN = link to Assumptions. (e) = analyst estimate. Continuing HEPS is modelled directly off the two ACTUAL prints (see Cover methodology); operating margin, net debt &amp; finance costs are the resilience drivers.</t>
  </si>
  <si>
    <t xml:space="preserve">Turnover (continuing)</t>
  </si>
  <si>
    <t xml:space="preserve">  Turnover growth (%)</t>
  </si>
  <si>
    <t xml:space="preserve">  Operating margin (%)</t>
  </si>
  <si>
    <t xml:space="preserve">less: Net finance costs (e)</t>
  </si>
  <si>
    <t xml:space="preserve">Continuing HEPS (e), cents</t>
  </si>
  <si>
    <t xml:space="preserve">  Implied cont. headline earnings (memo)</t>
  </si>
  <si>
    <t xml:space="preserve">  Net debt leverage (x)</t>
  </si>
  <si>
    <t xml:space="preserve">Read: In EVERY scenario FY2026 HEPS sits far below FY2025's 795.8c (the H1 print was already 199.9c). Scenario A is SPP's better world — but recovery is gated on SELF-HELP (KZN, SAP, cost realignment, retailer loyalty), not just macro; it is a higher-beta RECOVERY bet, not a safe one. Scenario B is genuinely dangerous: leverage rises (de-gearing stalls), the legacy ZAR-debt drag and fuel cost climb, trade-down flows OUT of SPAR independents, and the dividend stays nil — the gap to Shoprite is widest here.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</si>
</sst>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#,##0"/>
    <numFmt numFmtId="167" formatCode="#,##0.0"/>
    <numFmt numFmtId="168" formatCode="0.00%"/>
    <numFmt numFmtId="169" formatCode="0.0%"/>
    <numFmt numFmtId="170" formatCode="0.00\x"/>
    <numFmt numFmtId="171" formatCode="0.00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9"/>
      <color rgb="FF008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2E5496"/>
        <bgColor rgb="FF1F3864"/>
      </patternFill>
    </fill>
    <fill>
      <patternFill patternType="solid">
        <fgColor rgb="FF375623"/>
        <bgColor rgb="FF333300"/>
      </patternFill>
    </fill>
    <fill>
      <patternFill patternType="solid">
        <fgColor rgb="FFF2F2F2"/>
        <bgColor rgb="FFFFFFFF"/>
      </patternFill>
    </fill>
    <fill>
      <patternFill patternType="solid">
        <fgColor rgb="FFC00000"/>
        <bgColor rgb="FF800000"/>
      </patternFill>
    </fill>
    <fill>
      <patternFill patternType="solid">
        <fgColor rgb="FFBF8F00"/>
        <bgColor rgb="FF808000"/>
      </patternFill>
    </fill>
    <fill>
      <patternFill patternType="solid">
        <fgColor rgb="FFFFF2CC"/>
        <bgColor rgb="FFF2F2F2"/>
      </patternFill>
    </fill>
    <fill>
      <patternFill patternType="solid">
        <fgColor rgb="FFD9D9D9"/>
        <bgColor rgb="FFF2F2F2"/>
      </patternFill>
    </fill>
    <fill>
      <patternFill patternType="solid">
        <fgColor rgb="FF80808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8" min="3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B4" s="4" t="s">
        <v>2</v>
      </c>
      <c r="C4" s="4"/>
      <c r="D4" s="4"/>
      <c r="E4" s="4"/>
      <c r="F4" s="4"/>
      <c r="G4" s="4"/>
      <c r="H4" s="4"/>
    </row>
    <row r="5" customFormat="false" ht="30" hidden="false" customHeight="true" outlineLevel="0" collapsed="false">
      <c r="B5" s="5" t="s">
        <v>3</v>
      </c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B6" s="3"/>
      <c r="C6" s="3"/>
      <c r="D6" s="3"/>
      <c r="E6" s="3"/>
      <c r="F6" s="3"/>
      <c r="G6" s="3"/>
      <c r="H6" s="3"/>
    </row>
    <row r="7" customFormat="false" ht="15" hidden="false" customHeight="false" outlineLevel="0" collapsed="false">
      <c r="B7" s="4" t="s">
        <v>4</v>
      </c>
      <c r="C7" s="4"/>
      <c r="D7" s="4"/>
      <c r="E7" s="4"/>
      <c r="F7" s="4"/>
      <c r="G7" s="4"/>
      <c r="H7" s="4"/>
    </row>
    <row r="8" customFormat="false" ht="30" hidden="false" customHeight="true" outlineLevel="0" collapsed="false">
      <c r="B8" s="5" t="s">
        <v>5</v>
      </c>
      <c r="C8" s="5"/>
      <c r="D8" s="5"/>
      <c r="E8" s="5"/>
      <c r="F8" s="5"/>
      <c r="G8" s="5"/>
      <c r="H8" s="5"/>
    </row>
    <row r="9" customFormat="false" ht="30" hidden="false" customHeight="true" outlineLevel="0" collapsed="false">
      <c r="B9" s="5" t="s">
        <v>6</v>
      </c>
      <c r="C9" s="5"/>
      <c r="D9" s="5"/>
      <c r="E9" s="5"/>
      <c r="F9" s="5"/>
      <c r="G9" s="5"/>
      <c r="H9" s="5"/>
    </row>
    <row r="10" customFormat="false" ht="30" hidden="false" customHeight="true" outlineLevel="0" collapsed="false">
      <c r="B10" s="5" t="s">
        <v>7</v>
      </c>
      <c r="C10" s="5"/>
      <c r="D10" s="5"/>
      <c r="E10" s="5"/>
      <c r="F10" s="5"/>
      <c r="G10" s="5"/>
      <c r="H10" s="5"/>
    </row>
    <row r="11" customFormat="false" ht="30" hidden="false" customHeight="true" outlineLevel="0" collapsed="false">
      <c r="B11" s="5" t="s">
        <v>8</v>
      </c>
      <c r="C11" s="5"/>
      <c r="D11" s="5"/>
      <c r="E11" s="5"/>
      <c r="F11" s="5"/>
      <c r="G11" s="5"/>
      <c r="H11" s="5"/>
    </row>
    <row r="12" customFormat="false" ht="30" hidden="false" customHeight="true" outlineLevel="0" collapsed="false">
      <c r="B12" s="5" t="s">
        <v>9</v>
      </c>
      <c r="C12" s="5"/>
      <c r="D12" s="5"/>
      <c r="E12" s="5"/>
      <c r="F12" s="5"/>
      <c r="G12" s="5"/>
      <c r="H12" s="5"/>
    </row>
    <row r="13" customFormat="false" ht="15" hidden="false" customHeight="false" outlineLevel="0" collapsed="false">
      <c r="B13" s="3"/>
      <c r="C13" s="3"/>
      <c r="D13" s="3"/>
      <c r="E13" s="3"/>
      <c r="F13" s="3"/>
      <c r="G13" s="3"/>
      <c r="H13" s="3"/>
    </row>
    <row r="14" customFormat="false" ht="15" hidden="false" customHeight="false" outlineLevel="0" collapsed="false">
      <c r="B14" s="4" t="s">
        <v>10</v>
      </c>
      <c r="C14" s="4"/>
      <c r="D14" s="4"/>
      <c r="E14" s="4"/>
      <c r="F14" s="4"/>
      <c r="G14" s="4"/>
      <c r="H14" s="4"/>
    </row>
    <row r="15" customFormat="false" ht="30" hidden="false" customHeight="true" outlineLevel="0" collapsed="false">
      <c r="B15" s="5" t="s">
        <v>11</v>
      </c>
      <c r="C15" s="5"/>
      <c r="D15" s="5"/>
      <c r="E15" s="5"/>
      <c r="F15" s="5"/>
      <c r="G15" s="5"/>
      <c r="H15" s="5"/>
    </row>
    <row r="16" customFormat="false" ht="30" hidden="false" customHeight="true" outlineLevel="0" collapsed="false">
      <c r="B16" s="5" t="s">
        <v>12</v>
      </c>
      <c r="C16" s="5"/>
      <c r="D16" s="5"/>
      <c r="E16" s="5"/>
      <c r="F16" s="5"/>
      <c r="G16" s="5"/>
      <c r="H16" s="5"/>
    </row>
    <row r="17" customFormat="false" ht="30" hidden="false" customHeight="true" outlineLevel="0" collapsed="false">
      <c r="B17" s="5" t="s">
        <v>13</v>
      </c>
      <c r="C17" s="5"/>
      <c r="D17" s="5"/>
      <c r="E17" s="5"/>
      <c r="F17" s="5"/>
      <c r="G17" s="5"/>
      <c r="H17" s="5"/>
    </row>
    <row r="18" customFormat="false" ht="30" hidden="false" customHeight="true" outlineLevel="0" collapsed="false">
      <c r="B18" s="5" t="s">
        <v>14</v>
      </c>
      <c r="C18" s="5"/>
      <c r="D18" s="5"/>
      <c r="E18" s="5"/>
      <c r="F18" s="5"/>
      <c r="G18" s="5"/>
      <c r="H18" s="5"/>
    </row>
    <row r="19" customFormat="false" ht="15" hidden="false" customHeight="false" outlineLevel="0" collapsed="false">
      <c r="B19" s="3"/>
      <c r="C19" s="3"/>
      <c r="D19" s="3"/>
      <c r="E19" s="3"/>
      <c r="F19" s="3"/>
      <c r="G19" s="3"/>
      <c r="H19" s="3"/>
    </row>
    <row r="20" customFormat="false" ht="15" hidden="false" customHeight="false" outlineLevel="0" collapsed="false">
      <c r="B20" s="4" t="s">
        <v>15</v>
      </c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B21" s="3"/>
      <c r="C21" s="3"/>
      <c r="D21" s="3"/>
      <c r="E21" s="3"/>
      <c r="F21" s="3"/>
      <c r="G21" s="3"/>
      <c r="H21" s="3"/>
    </row>
    <row r="22" customFormat="false" ht="24" hidden="false" customHeight="true" outlineLevel="0" collapsed="false">
      <c r="B22" s="6" t="s">
        <v>16</v>
      </c>
      <c r="C22" s="7" t="s">
        <v>17</v>
      </c>
      <c r="D22" s="8" t="s">
        <v>18</v>
      </c>
      <c r="E22" s="8"/>
    </row>
    <row r="23" customFormat="false" ht="25.5" hidden="false" customHeight="true" outlineLevel="0" collapsed="false">
      <c r="B23" s="9" t="s">
        <v>19</v>
      </c>
      <c r="C23" s="10"/>
      <c r="D23" s="11" t="s">
        <v>20</v>
      </c>
      <c r="E23" s="11"/>
      <c r="F23" s="11" t="s">
        <v>21</v>
      </c>
      <c r="G23" s="11"/>
      <c r="H23" s="11"/>
    </row>
    <row r="24" customFormat="false" ht="25.5" hidden="false" customHeight="true" outlineLevel="0" collapsed="false">
      <c r="B24" s="9" t="s">
        <v>22</v>
      </c>
      <c r="C24" s="10"/>
      <c r="D24" s="11" t="s">
        <v>23</v>
      </c>
      <c r="E24" s="11"/>
      <c r="F24" s="11" t="s">
        <v>24</v>
      </c>
      <c r="G24" s="11"/>
      <c r="H24" s="11"/>
    </row>
    <row r="25" customFormat="false" ht="25.5" hidden="false" customHeight="true" outlineLevel="0" collapsed="false">
      <c r="B25" s="9" t="s">
        <v>25</v>
      </c>
      <c r="C25" s="10"/>
      <c r="D25" s="11" t="s">
        <v>26</v>
      </c>
      <c r="E25" s="11"/>
      <c r="F25" s="11" t="s">
        <v>27</v>
      </c>
      <c r="G25" s="11"/>
      <c r="H25" s="11"/>
    </row>
    <row r="26" customFormat="false" ht="25.5" hidden="false" customHeight="true" outlineLevel="0" collapsed="false">
      <c r="B26" s="9" t="s">
        <v>28</v>
      </c>
      <c r="C26" s="10"/>
      <c r="D26" s="11" t="s">
        <v>29</v>
      </c>
      <c r="E26" s="11"/>
      <c r="F26" s="11" t="s">
        <v>30</v>
      </c>
      <c r="G26" s="11"/>
      <c r="H26" s="11"/>
    </row>
    <row r="27" customFormat="false" ht="25.5" hidden="false" customHeight="true" outlineLevel="0" collapsed="false">
      <c r="B27" s="9" t="s">
        <v>31</v>
      </c>
      <c r="C27" s="10"/>
      <c r="D27" s="11" t="s">
        <v>32</v>
      </c>
      <c r="E27" s="11"/>
      <c r="F27" s="11" t="s">
        <v>33</v>
      </c>
      <c r="G27" s="11"/>
      <c r="H27" s="11"/>
    </row>
    <row r="28" customFormat="false" ht="25.5" hidden="false" customHeight="true" outlineLevel="0" collapsed="false">
      <c r="B28" s="9" t="s">
        <v>34</v>
      </c>
      <c r="C28" s="10"/>
      <c r="D28" s="11" t="s">
        <v>35</v>
      </c>
      <c r="E28" s="11"/>
      <c r="F28" s="11" t="s">
        <v>36</v>
      </c>
      <c r="G28" s="11"/>
      <c r="H28" s="11"/>
    </row>
    <row r="29" customFormat="false" ht="25.5" hidden="false" customHeight="true" outlineLevel="0" collapsed="false">
      <c r="B29" s="9" t="s">
        <v>37</v>
      </c>
      <c r="C29" s="10"/>
      <c r="D29" s="11" t="s">
        <v>38</v>
      </c>
      <c r="E29" s="11"/>
      <c r="F29" s="11" t="s">
        <v>39</v>
      </c>
      <c r="G29" s="11"/>
      <c r="H29" s="11"/>
    </row>
    <row r="30" customFormat="false" ht="25.5" hidden="false" customHeight="true" outlineLevel="0" collapsed="false">
      <c r="B30" s="9" t="s">
        <v>40</v>
      </c>
      <c r="C30" s="10"/>
      <c r="D30" s="11" t="s">
        <v>41</v>
      </c>
      <c r="E30" s="11"/>
      <c r="F30" s="11" t="s">
        <v>42</v>
      </c>
      <c r="G30" s="11"/>
      <c r="H30" s="11"/>
    </row>
    <row r="32" customFormat="false" ht="15" hidden="false" customHeight="false" outlineLevel="0" collapsed="false">
      <c r="B32" s="4" t="s">
        <v>43</v>
      </c>
      <c r="C32" s="4"/>
      <c r="D32" s="4"/>
      <c r="E32" s="4"/>
      <c r="F32" s="4"/>
      <c r="G32" s="4"/>
      <c r="H32" s="4"/>
    </row>
    <row r="33" customFormat="false" ht="24" hidden="false" customHeight="true" outlineLevel="0" collapsed="false">
      <c r="B33" s="12" t="s">
        <v>44</v>
      </c>
      <c r="C33" s="12"/>
      <c r="D33" s="12"/>
      <c r="E33" s="12"/>
      <c r="F33" s="12"/>
      <c r="G33" s="12"/>
      <c r="H33" s="12"/>
    </row>
    <row r="34" customFormat="false" ht="24" hidden="false" customHeight="true" outlineLevel="0" collapsed="false">
      <c r="B34" s="12" t="s">
        <v>45</v>
      </c>
      <c r="C34" s="12"/>
      <c r="D34" s="12"/>
      <c r="E34" s="12"/>
      <c r="F34" s="12"/>
      <c r="G34" s="12"/>
      <c r="H34" s="12"/>
    </row>
    <row r="35" customFormat="false" ht="24" hidden="false" customHeight="true" outlineLevel="0" collapsed="false">
      <c r="B35" s="12" t="s">
        <v>46</v>
      </c>
      <c r="C35" s="12"/>
      <c r="D35" s="12"/>
      <c r="E35" s="12"/>
      <c r="F35" s="12"/>
      <c r="G35" s="12"/>
      <c r="H35" s="12"/>
    </row>
    <row r="36" customFormat="false" ht="24" hidden="false" customHeight="true" outlineLevel="0" collapsed="false">
      <c r="B36" s="12" t="s">
        <v>47</v>
      </c>
      <c r="C36" s="12"/>
      <c r="D36" s="12"/>
      <c r="E36" s="12"/>
      <c r="F36" s="12"/>
      <c r="G36" s="12"/>
      <c r="H36" s="12"/>
    </row>
    <row r="37" customFormat="false" ht="24" hidden="false" customHeight="true" outlineLevel="0" collapsed="false">
      <c r="B37" s="12" t="s">
        <v>48</v>
      </c>
      <c r="C37" s="12"/>
      <c r="D37" s="12"/>
      <c r="E37" s="12"/>
      <c r="F37" s="12"/>
      <c r="G37" s="12"/>
      <c r="H37" s="12"/>
    </row>
    <row r="38" customFormat="false" ht="24" hidden="false" customHeight="true" outlineLevel="0" collapsed="false">
      <c r="B38" s="12" t="s">
        <v>49</v>
      </c>
      <c r="C38" s="12"/>
      <c r="D38" s="12"/>
      <c r="E38" s="12"/>
      <c r="F38" s="12"/>
      <c r="G38" s="12"/>
      <c r="H38" s="12"/>
    </row>
  </sheetData>
  <mergeCells count="45">
    <mergeCell ref="A1:H1"/>
    <mergeCell ref="A2:H2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D22:E22"/>
    <mergeCell ref="D23:E23"/>
    <mergeCell ref="F23:H23"/>
    <mergeCell ref="D24:E24"/>
    <mergeCell ref="F24:H24"/>
    <mergeCell ref="D25:E25"/>
    <mergeCell ref="F25:H25"/>
    <mergeCell ref="D26:E26"/>
    <mergeCell ref="F26:H26"/>
    <mergeCell ref="D27:E27"/>
    <mergeCell ref="F27:H27"/>
    <mergeCell ref="D28:E28"/>
    <mergeCell ref="F28:H28"/>
    <mergeCell ref="D29:E29"/>
    <mergeCell ref="F29:H29"/>
    <mergeCell ref="D30:E30"/>
    <mergeCell ref="F30:H30"/>
    <mergeCell ref="B32:H32"/>
    <mergeCell ref="B33:H33"/>
    <mergeCell ref="B34:H34"/>
    <mergeCell ref="B35:H35"/>
    <mergeCell ref="B36:H36"/>
    <mergeCell ref="B37:H37"/>
    <mergeCell ref="B38:H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9"/>
    <col collapsed="false" customWidth="true" hidden="false" outlineLevel="0" max="6" min="5" style="0" width="39"/>
  </cols>
  <sheetData>
    <row r="1" customFormat="false" ht="24" hidden="false" customHeight="true" outlineLevel="0" collapsed="false">
      <c r="A1" s="13" t="s">
        <v>50</v>
      </c>
      <c r="B1" s="13"/>
      <c r="C1" s="13"/>
      <c r="D1" s="13"/>
      <c r="E1" s="13"/>
      <c r="F1" s="13"/>
      <c r="G1" s="13"/>
    </row>
    <row r="2" customFormat="false" ht="15" hidden="false" customHeight="true" outlineLevel="0" collapsed="false">
      <c r="A2" s="2" t="s">
        <v>51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B4" s="6" t="s">
        <v>52</v>
      </c>
      <c r="C4" s="7" t="s">
        <v>53</v>
      </c>
      <c r="D4" s="8" t="s">
        <v>54</v>
      </c>
      <c r="E4" s="6" t="s">
        <v>55</v>
      </c>
      <c r="F4" s="6" t="s">
        <v>56</v>
      </c>
    </row>
    <row r="5" customFormat="false" ht="30" hidden="false" customHeight="true" outlineLevel="0" collapsed="false">
      <c r="B5" s="9" t="s">
        <v>57</v>
      </c>
      <c r="C5" s="14" t="n">
        <v>5</v>
      </c>
      <c r="D5" s="15" t="n">
        <v>2</v>
      </c>
      <c r="E5" s="16" t="s">
        <v>58</v>
      </c>
      <c r="F5" s="16" t="s">
        <v>59</v>
      </c>
    </row>
    <row r="6" customFormat="false" ht="30" hidden="false" customHeight="true" outlineLevel="0" collapsed="false">
      <c r="B6" s="9" t="s">
        <v>60</v>
      </c>
      <c r="C6" s="14" t="n">
        <v>5</v>
      </c>
      <c r="D6" s="15" t="n">
        <v>1</v>
      </c>
      <c r="E6" s="16" t="s">
        <v>61</v>
      </c>
      <c r="F6" s="16" t="s">
        <v>62</v>
      </c>
    </row>
    <row r="7" customFormat="false" ht="30" hidden="false" customHeight="true" outlineLevel="0" collapsed="false">
      <c r="B7" s="9" t="s">
        <v>63</v>
      </c>
      <c r="C7" s="14" t="n">
        <v>4</v>
      </c>
      <c r="D7" s="15" t="n">
        <v>2</v>
      </c>
      <c r="E7" s="16" t="s">
        <v>64</v>
      </c>
      <c r="F7" s="16" t="s">
        <v>65</v>
      </c>
    </row>
    <row r="8" customFormat="false" ht="30" hidden="false" customHeight="true" outlineLevel="0" collapsed="false">
      <c r="B8" s="9" t="s">
        <v>66</v>
      </c>
      <c r="C8" s="14" t="n">
        <v>5</v>
      </c>
      <c r="D8" s="15" t="n">
        <v>2</v>
      </c>
      <c r="E8" s="16" t="s">
        <v>67</v>
      </c>
      <c r="F8" s="16" t="s">
        <v>68</v>
      </c>
    </row>
    <row r="9" customFormat="false" ht="30" hidden="false" customHeight="true" outlineLevel="0" collapsed="false">
      <c r="B9" s="9" t="s">
        <v>69</v>
      </c>
      <c r="C9" s="14" t="n">
        <v>4</v>
      </c>
      <c r="D9" s="15" t="n">
        <v>2</v>
      </c>
      <c r="E9" s="16" t="s">
        <v>70</v>
      </c>
      <c r="F9" s="16" t="s">
        <v>71</v>
      </c>
    </row>
    <row r="10" customFormat="false" ht="30" hidden="false" customHeight="true" outlineLevel="0" collapsed="false">
      <c r="B10" s="9" t="s">
        <v>72</v>
      </c>
      <c r="C10" s="14" t="n">
        <v>4</v>
      </c>
      <c r="D10" s="15" t="n">
        <v>2</v>
      </c>
      <c r="E10" s="16" t="s">
        <v>73</v>
      </c>
      <c r="F10" s="16" t="s">
        <v>74</v>
      </c>
    </row>
    <row r="11" customFormat="false" ht="30" hidden="false" customHeight="true" outlineLevel="0" collapsed="false">
      <c r="B11" s="9" t="s">
        <v>75</v>
      </c>
      <c r="C11" s="17" t="n">
        <v>3</v>
      </c>
      <c r="D11" s="14" t="n">
        <v>4</v>
      </c>
      <c r="E11" s="16" t="s">
        <v>76</v>
      </c>
      <c r="F11" s="16" t="s">
        <v>77</v>
      </c>
    </row>
    <row r="12" customFormat="false" ht="30" hidden="false" customHeight="true" outlineLevel="0" collapsed="false">
      <c r="B12" s="9" t="s">
        <v>78</v>
      </c>
      <c r="C12" s="14" t="n">
        <v>5</v>
      </c>
      <c r="D12" s="15" t="n">
        <v>2</v>
      </c>
      <c r="E12" s="16" t="s">
        <v>79</v>
      </c>
      <c r="F12" s="16" t="s">
        <v>80</v>
      </c>
    </row>
    <row r="13" customFormat="false" ht="30" hidden="false" customHeight="true" outlineLevel="0" collapsed="false">
      <c r="B13" s="9" t="s">
        <v>81</v>
      </c>
      <c r="C13" s="14" t="n">
        <v>5</v>
      </c>
      <c r="D13" s="15" t="n">
        <v>1</v>
      </c>
      <c r="E13" s="16" t="s">
        <v>82</v>
      </c>
      <c r="F13" s="16" t="s">
        <v>83</v>
      </c>
    </row>
    <row r="14" customFormat="false" ht="30" hidden="false" customHeight="true" outlineLevel="0" collapsed="false">
      <c r="B14" s="9" t="s">
        <v>84</v>
      </c>
      <c r="C14" s="17" t="n">
        <v>3</v>
      </c>
      <c r="D14" s="17" t="n">
        <v>3</v>
      </c>
      <c r="E14" s="16" t="s">
        <v>85</v>
      </c>
      <c r="F14" s="16" t="s">
        <v>86</v>
      </c>
    </row>
    <row r="15" customFormat="false" ht="24" hidden="false" customHeight="true" outlineLevel="0" collapsed="false">
      <c r="B15" s="18" t="s">
        <v>87</v>
      </c>
      <c r="C15" s="19" t="n">
        <f aca="false">AVERAGE(C5:C14)</f>
        <v>4.3</v>
      </c>
      <c r="D15" s="20" t="n">
        <f aca="false">AVERAGE(D5:D14)</f>
        <v>2.1</v>
      </c>
      <c r="E15" s="21" t="s">
        <v>88</v>
      </c>
      <c r="F15" s="21" t="s">
        <v>89</v>
      </c>
    </row>
    <row r="17" customFormat="false" ht="15" hidden="false" customHeight="false" outlineLevel="0" collapsed="false">
      <c r="B17" s="22" t="s">
        <v>90</v>
      </c>
      <c r="C17" s="22"/>
      <c r="D17" s="22"/>
      <c r="E17" s="22"/>
      <c r="F17" s="22"/>
    </row>
    <row r="18" customFormat="false" ht="139.5" hidden="false" customHeight="true" outlineLevel="0" collapsed="false">
      <c r="B18" s="23" t="s">
        <v>91</v>
      </c>
      <c r="C18" s="23"/>
      <c r="D18" s="23"/>
      <c r="E18" s="23"/>
      <c r="F18" s="23"/>
    </row>
  </sheetData>
  <mergeCells count="4">
    <mergeCell ref="A1:G1"/>
    <mergeCell ref="A2:G2"/>
    <mergeCell ref="B17:F17"/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9" min="5" style="0" width="14"/>
  </cols>
  <sheetData>
    <row r="1" customFormat="false" ht="24" hidden="false" customHeight="true" outlineLevel="0" collapsed="false">
      <c r="A1" s="13" t="s">
        <v>92</v>
      </c>
      <c r="B1" s="13"/>
      <c r="C1" s="13"/>
      <c r="D1" s="13"/>
      <c r="E1" s="13"/>
      <c r="F1" s="13"/>
      <c r="G1" s="13"/>
      <c r="H1" s="13"/>
      <c r="I1" s="13"/>
    </row>
    <row r="2" customFormat="false" ht="15" hidden="false" customHeight="true" outlineLevel="0" collapsed="false">
      <c r="A2" s="2" t="s">
        <v>93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24" t="s">
        <v>94</v>
      </c>
      <c r="C4" s="24"/>
      <c r="D4" s="24"/>
    </row>
    <row r="5" customFormat="false" ht="15" hidden="false" customHeight="false" outlineLevel="0" collapsed="false">
      <c r="B5" s="25" t="s">
        <v>95</v>
      </c>
      <c r="C5" s="26" t="s">
        <v>96</v>
      </c>
      <c r="D5" s="27" t="s">
        <v>97</v>
      </c>
    </row>
    <row r="6" customFormat="false" ht="15" hidden="false" customHeight="false" outlineLevel="0" collapsed="false">
      <c r="B6" s="25" t="s">
        <v>98</v>
      </c>
      <c r="C6" s="26" t="s">
        <v>99</v>
      </c>
      <c r="D6" s="27" t="s">
        <v>100</v>
      </c>
    </row>
    <row r="7" customFormat="false" ht="15" hidden="false" customHeight="false" outlineLevel="0" collapsed="false">
      <c r="B7" s="25" t="s">
        <v>101</v>
      </c>
      <c r="C7" s="26" t="s">
        <v>102</v>
      </c>
      <c r="D7" s="27" t="s">
        <v>103</v>
      </c>
    </row>
    <row r="8" customFormat="false" ht="15" hidden="false" customHeight="false" outlineLevel="0" collapsed="false">
      <c r="B8" s="25" t="s">
        <v>104</v>
      </c>
      <c r="C8" s="26" t="s">
        <v>105</v>
      </c>
      <c r="D8" s="27" t="s">
        <v>106</v>
      </c>
    </row>
    <row r="9" customFormat="false" ht="15" hidden="false" customHeight="false" outlineLevel="0" collapsed="false">
      <c r="B9" s="24" t="s">
        <v>107</v>
      </c>
      <c r="C9" s="24"/>
      <c r="D9" s="24"/>
    </row>
    <row r="10" customFormat="false" ht="15" hidden="false" customHeight="false" outlineLevel="0" collapsed="false">
      <c r="B10" s="25" t="s">
        <v>108</v>
      </c>
      <c r="C10" s="26" t="s">
        <v>109</v>
      </c>
      <c r="D10" s="27" t="s">
        <v>110</v>
      </c>
    </row>
    <row r="11" customFormat="false" ht="15" hidden="false" customHeight="false" outlineLevel="0" collapsed="false">
      <c r="B11" s="25" t="s">
        <v>111</v>
      </c>
      <c r="C11" s="26" t="s">
        <v>112</v>
      </c>
      <c r="D11" s="27" t="s">
        <v>113</v>
      </c>
    </row>
    <row r="12" customFormat="false" ht="15" hidden="false" customHeight="false" outlineLevel="0" collapsed="false">
      <c r="B12" s="25" t="s">
        <v>114</v>
      </c>
      <c r="C12" s="26" t="s">
        <v>115</v>
      </c>
      <c r="D12" s="27" t="s">
        <v>116</v>
      </c>
    </row>
    <row r="13" customFormat="false" ht="15" hidden="false" customHeight="false" outlineLevel="0" collapsed="false">
      <c r="B13" s="25" t="s">
        <v>117</v>
      </c>
      <c r="C13" s="26" t="s">
        <v>118</v>
      </c>
      <c r="D13" s="27" t="s">
        <v>119</v>
      </c>
    </row>
    <row r="14" customFormat="false" ht="15" hidden="false" customHeight="false" outlineLevel="0" collapsed="false">
      <c r="B14" s="24" t="s">
        <v>120</v>
      </c>
      <c r="C14" s="24"/>
      <c r="D14" s="24"/>
    </row>
    <row r="15" customFormat="false" ht="15" hidden="false" customHeight="false" outlineLevel="0" collapsed="false">
      <c r="B15" s="25" t="s">
        <v>121</v>
      </c>
      <c r="C15" s="26" t="s">
        <v>122</v>
      </c>
      <c r="D15" s="27" t="s">
        <v>123</v>
      </c>
    </row>
    <row r="16" customFormat="false" ht="15" hidden="false" customHeight="false" outlineLevel="0" collapsed="false">
      <c r="B16" s="25" t="s">
        <v>124</v>
      </c>
      <c r="C16" s="26" t="s">
        <v>125</v>
      </c>
      <c r="D16" s="27" t="s">
        <v>126</v>
      </c>
    </row>
    <row r="17" customFormat="false" ht="15" hidden="false" customHeight="false" outlineLevel="0" collapsed="false">
      <c r="B17" s="25" t="s">
        <v>127</v>
      </c>
      <c r="C17" s="26" t="s">
        <v>128</v>
      </c>
      <c r="D17" s="27" t="s">
        <v>129</v>
      </c>
    </row>
    <row r="18" customFormat="false" ht="15" hidden="false" customHeight="false" outlineLevel="0" collapsed="false">
      <c r="B18" s="25" t="s">
        <v>130</v>
      </c>
      <c r="C18" s="26" t="s">
        <v>131</v>
      </c>
      <c r="D18" s="27" t="s">
        <v>132</v>
      </c>
    </row>
    <row r="19" customFormat="false" ht="15" hidden="false" customHeight="false" outlineLevel="0" collapsed="false">
      <c r="B19" s="25" t="s">
        <v>133</v>
      </c>
      <c r="C19" s="26" t="s">
        <v>134</v>
      </c>
      <c r="D19" s="27" t="s">
        <v>135</v>
      </c>
    </row>
    <row r="21" customFormat="false" ht="69.75" hidden="false" customHeight="true" outlineLevel="0" collapsed="false">
      <c r="B21" s="28" t="s">
        <v>136</v>
      </c>
      <c r="C21" s="28"/>
      <c r="D21" s="28"/>
    </row>
  </sheetData>
  <mergeCells count="6">
    <mergeCell ref="A1:I1"/>
    <mergeCell ref="A2:I2"/>
    <mergeCell ref="B4:D4"/>
    <mergeCell ref="B9:D9"/>
    <mergeCell ref="B14:D14"/>
    <mergeCell ref="B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34"/>
  </cols>
  <sheetData>
    <row r="1" customFormat="false" ht="24" hidden="false" customHeight="true" outlineLevel="0" collapsed="false">
      <c r="A1" s="13" t="s">
        <v>137</v>
      </c>
      <c r="B1" s="13"/>
      <c r="C1" s="13"/>
      <c r="D1" s="13"/>
      <c r="E1" s="13"/>
      <c r="F1" s="13"/>
    </row>
    <row r="2" customFormat="false" ht="15" hidden="false" customHeight="true" outlineLevel="0" collapsed="false">
      <c r="A2" s="2" t="s">
        <v>138</v>
      </c>
      <c r="B2" s="2"/>
      <c r="C2" s="2"/>
      <c r="D2" s="2"/>
      <c r="E2" s="2"/>
      <c r="F2" s="2"/>
    </row>
    <row r="4" customFormat="false" ht="24" hidden="false" customHeight="true" outlineLevel="0" collapsed="false">
      <c r="B4" s="7" t="s">
        <v>16</v>
      </c>
      <c r="C4" s="7" t="s">
        <v>139</v>
      </c>
      <c r="D4" s="7" t="s">
        <v>140</v>
      </c>
      <c r="E4" s="7" t="s">
        <v>141</v>
      </c>
      <c r="F4" s="7" t="s">
        <v>142</v>
      </c>
    </row>
    <row r="5" customFormat="false" ht="15" hidden="false" customHeight="false" outlineLevel="0" collapsed="false">
      <c r="B5" s="25" t="s">
        <v>143</v>
      </c>
      <c r="C5" s="29" t="s">
        <v>144</v>
      </c>
      <c r="D5" s="29" t="s">
        <v>145</v>
      </c>
      <c r="E5" s="29" t="s">
        <v>146</v>
      </c>
      <c r="F5" s="11" t="s">
        <v>147</v>
      </c>
    </row>
    <row r="6" customFormat="false" ht="15" hidden="false" customHeight="false" outlineLevel="0" collapsed="false">
      <c r="B6" s="25" t="s">
        <v>148</v>
      </c>
      <c r="C6" s="29" t="s">
        <v>149</v>
      </c>
      <c r="D6" s="29" t="s">
        <v>150</v>
      </c>
      <c r="E6" s="29" t="s">
        <v>151</v>
      </c>
      <c r="F6" s="11" t="s">
        <v>147</v>
      </c>
    </row>
    <row r="7" customFormat="false" ht="15" hidden="false" customHeight="false" outlineLevel="0" collapsed="false">
      <c r="B7" s="25" t="s">
        <v>152</v>
      </c>
      <c r="C7" s="29" t="s">
        <v>153</v>
      </c>
      <c r="D7" s="29" t="s">
        <v>154</v>
      </c>
      <c r="E7" s="29" t="s">
        <v>154</v>
      </c>
      <c r="F7" s="11" t="s">
        <v>155</v>
      </c>
    </row>
    <row r="8" customFormat="false" ht="15" hidden="false" customHeight="false" outlineLevel="0" collapsed="false">
      <c r="B8" s="25" t="s">
        <v>156</v>
      </c>
      <c r="C8" s="29" t="s">
        <v>157</v>
      </c>
      <c r="D8" s="29" t="s">
        <v>158</v>
      </c>
      <c r="E8" s="29" t="s">
        <v>159</v>
      </c>
      <c r="F8" s="11" t="s">
        <v>160</v>
      </c>
    </row>
    <row r="9" customFormat="false" ht="15" hidden="false" customHeight="false" outlineLevel="0" collapsed="false">
      <c r="B9" s="25" t="s">
        <v>161</v>
      </c>
      <c r="C9" s="29" t="s">
        <v>162</v>
      </c>
      <c r="D9" s="29" t="s">
        <v>154</v>
      </c>
      <c r="E9" s="29" t="s">
        <v>163</v>
      </c>
      <c r="F9" s="11" t="s">
        <v>164</v>
      </c>
    </row>
    <row r="10" customFormat="false" ht="15" hidden="false" customHeight="false" outlineLevel="0" collapsed="false">
      <c r="B10" s="25" t="s">
        <v>165</v>
      </c>
      <c r="C10" s="29" t="s">
        <v>166</v>
      </c>
      <c r="D10" s="29" t="s">
        <v>167</v>
      </c>
      <c r="E10" s="29" t="s">
        <v>159</v>
      </c>
      <c r="F10" s="11" t="s">
        <v>164</v>
      </c>
    </row>
    <row r="11" customFormat="false" ht="15" hidden="false" customHeight="false" outlineLevel="0" collapsed="false">
      <c r="B11" s="25" t="s">
        <v>168</v>
      </c>
      <c r="C11" s="29" t="s">
        <v>169</v>
      </c>
      <c r="D11" s="29" t="s">
        <v>170</v>
      </c>
      <c r="E11" s="29" t="s">
        <v>171</v>
      </c>
      <c r="F11" s="11" t="s">
        <v>172</v>
      </c>
    </row>
    <row r="12" customFormat="false" ht="15" hidden="false" customHeight="false" outlineLevel="0" collapsed="false">
      <c r="B12" s="25" t="s">
        <v>173</v>
      </c>
      <c r="C12" s="29" t="s">
        <v>174</v>
      </c>
      <c r="D12" s="29" t="s">
        <v>175</v>
      </c>
      <c r="E12" s="29" t="s">
        <v>176</v>
      </c>
      <c r="F12" s="11" t="s">
        <v>177</v>
      </c>
    </row>
    <row r="13" customFormat="false" ht="15" hidden="false" customHeight="false" outlineLevel="0" collapsed="false">
      <c r="B13" s="25" t="s">
        <v>178</v>
      </c>
      <c r="C13" s="29" t="s">
        <v>179</v>
      </c>
      <c r="D13" s="29" t="s">
        <v>180</v>
      </c>
      <c r="E13" s="29" t="s">
        <v>181</v>
      </c>
      <c r="F13" s="11" t="s">
        <v>182</v>
      </c>
    </row>
    <row r="14" customFormat="false" ht="15" hidden="false" customHeight="false" outlineLevel="0" collapsed="false">
      <c r="B14" s="25" t="s">
        <v>183</v>
      </c>
      <c r="C14" s="29" t="s">
        <v>184</v>
      </c>
      <c r="D14" s="29" t="s">
        <v>154</v>
      </c>
      <c r="E14" s="29" t="s">
        <v>185</v>
      </c>
      <c r="F14" s="11" t="s">
        <v>147</v>
      </c>
    </row>
    <row r="15" customFormat="false" ht="15" hidden="false" customHeight="false" outlineLevel="0" collapsed="false">
      <c r="B15" s="25" t="s">
        <v>186</v>
      </c>
      <c r="C15" s="29" t="s">
        <v>187</v>
      </c>
      <c r="D15" s="29" t="s">
        <v>188</v>
      </c>
      <c r="E15" s="29" t="s">
        <v>189</v>
      </c>
      <c r="F15" s="11" t="s">
        <v>190</v>
      </c>
    </row>
    <row r="16" customFormat="false" ht="15" hidden="false" customHeight="false" outlineLevel="0" collapsed="false">
      <c r="B16" s="25" t="s">
        <v>191</v>
      </c>
      <c r="C16" s="29" t="s">
        <v>192</v>
      </c>
      <c r="D16" s="29" t="s">
        <v>193</v>
      </c>
      <c r="E16" s="29" t="s">
        <v>194</v>
      </c>
      <c r="F16" s="11" t="s">
        <v>195</v>
      </c>
    </row>
    <row r="17" customFormat="false" ht="15" hidden="false" customHeight="false" outlineLevel="0" collapsed="false">
      <c r="B17" s="25" t="s">
        <v>196</v>
      </c>
      <c r="C17" s="29" t="s">
        <v>197</v>
      </c>
      <c r="D17" s="29" t="s">
        <v>198</v>
      </c>
      <c r="E17" s="29" t="s">
        <v>199</v>
      </c>
      <c r="F17" s="11" t="s">
        <v>200</v>
      </c>
    </row>
    <row r="18" customFormat="false" ht="15" hidden="false" customHeight="false" outlineLevel="0" collapsed="false">
      <c r="B18" s="25" t="s">
        <v>201</v>
      </c>
      <c r="C18" s="29" t="s">
        <v>202</v>
      </c>
      <c r="D18" s="29" t="s">
        <v>203</v>
      </c>
      <c r="E18" s="29" t="s">
        <v>204</v>
      </c>
      <c r="F18" s="11" t="s">
        <v>205</v>
      </c>
    </row>
    <row r="19" customFormat="false" ht="15" hidden="false" customHeight="false" outlineLevel="0" collapsed="false">
      <c r="B19" s="25" t="s">
        <v>206</v>
      </c>
      <c r="C19" s="29" t="s">
        <v>207</v>
      </c>
      <c r="D19" s="29" t="s">
        <v>154</v>
      </c>
      <c r="E19" s="29" t="s">
        <v>208</v>
      </c>
      <c r="F19" s="11" t="s">
        <v>209</v>
      </c>
    </row>
    <row r="20" customFormat="false" ht="15" hidden="false" customHeight="false" outlineLevel="0" collapsed="false">
      <c r="B20" s="25" t="s">
        <v>210</v>
      </c>
      <c r="C20" s="29" t="s">
        <v>211</v>
      </c>
      <c r="D20" s="29" t="s">
        <v>154</v>
      </c>
      <c r="E20" s="29" t="s">
        <v>212</v>
      </c>
      <c r="F20" s="11" t="s">
        <v>213</v>
      </c>
    </row>
    <row r="21" customFormat="false" ht="15" hidden="false" customHeight="false" outlineLevel="0" collapsed="false">
      <c r="B21" s="25" t="s">
        <v>214</v>
      </c>
      <c r="C21" s="29" t="s">
        <v>215</v>
      </c>
      <c r="D21" s="29" t="s">
        <v>216</v>
      </c>
      <c r="E21" s="29" t="s">
        <v>217</v>
      </c>
      <c r="F21" s="11" t="s">
        <v>147</v>
      </c>
    </row>
    <row r="22" customFormat="false" ht="15" hidden="false" customHeight="false" outlineLevel="0" collapsed="false">
      <c r="B22" s="25" t="s">
        <v>218</v>
      </c>
      <c r="C22" s="29" t="s">
        <v>219</v>
      </c>
      <c r="D22" s="29" t="s">
        <v>154</v>
      </c>
      <c r="E22" s="29" t="s">
        <v>154</v>
      </c>
      <c r="F22" s="11" t="s">
        <v>220</v>
      </c>
    </row>
    <row r="24" customFormat="false" ht="39.75" hidden="false" customHeight="true" outlineLevel="0" collapsed="false">
      <c r="B24" s="28" t="s">
        <v>221</v>
      </c>
      <c r="C24" s="28"/>
      <c r="D24" s="28"/>
      <c r="E24" s="28"/>
      <c r="F24" s="28"/>
    </row>
  </sheetData>
  <mergeCells count="3">
    <mergeCell ref="A1:F1"/>
    <mergeCell ref="A2:F2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6" min="6" style="0" width="34"/>
  </cols>
  <sheetData>
    <row r="1" customFormat="false" ht="24" hidden="false" customHeight="true" outlineLevel="0" collapsed="false">
      <c r="A1" s="13" t="s">
        <v>222</v>
      </c>
      <c r="B1" s="13"/>
      <c r="C1" s="13"/>
      <c r="D1" s="13"/>
      <c r="E1" s="13"/>
      <c r="F1" s="13"/>
    </row>
    <row r="2" customFormat="false" ht="15" hidden="false" customHeight="true" outlineLevel="0" collapsed="false">
      <c r="A2" s="2" t="s">
        <v>223</v>
      </c>
      <c r="B2" s="2"/>
      <c r="C2" s="2"/>
      <c r="D2" s="2"/>
      <c r="E2" s="2"/>
      <c r="F2" s="2"/>
    </row>
    <row r="4" customFormat="false" ht="24" hidden="false" customHeight="true" outlineLevel="0" collapsed="false">
      <c r="B4" s="8" t="s">
        <v>16</v>
      </c>
      <c r="C4" s="8" t="s">
        <v>139</v>
      </c>
      <c r="D4" s="8" t="s">
        <v>224</v>
      </c>
      <c r="E4" s="8" t="s">
        <v>141</v>
      </c>
      <c r="F4" s="8" t="s">
        <v>142</v>
      </c>
    </row>
    <row r="5" customFormat="false" ht="15" hidden="false" customHeight="false" outlineLevel="0" collapsed="false">
      <c r="B5" s="25" t="s">
        <v>225</v>
      </c>
      <c r="C5" s="29" t="s">
        <v>226</v>
      </c>
      <c r="D5" s="29" t="s">
        <v>227</v>
      </c>
      <c r="E5" s="29" t="s">
        <v>228</v>
      </c>
      <c r="F5" s="11" t="s">
        <v>229</v>
      </c>
    </row>
    <row r="6" customFormat="false" ht="15" hidden="false" customHeight="false" outlineLevel="0" collapsed="false">
      <c r="B6" s="25" t="s">
        <v>230</v>
      </c>
      <c r="C6" s="29" t="s">
        <v>231</v>
      </c>
      <c r="D6" s="29" t="s">
        <v>232</v>
      </c>
      <c r="E6" s="29" t="s">
        <v>233</v>
      </c>
      <c r="F6" s="11" t="s">
        <v>234</v>
      </c>
    </row>
    <row r="7" customFormat="false" ht="15" hidden="false" customHeight="false" outlineLevel="0" collapsed="false">
      <c r="B7" s="25" t="s">
        <v>235</v>
      </c>
      <c r="C7" s="29" t="s">
        <v>236</v>
      </c>
      <c r="D7" s="29" t="s">
        <v>237</v>
      </c>
      <c r="E7" s="29" t="s">
        <v>238</v>
      </c>
      <c r="F7" s="11" t="s">
        <v>234</v>
      </c>
    </row>
    <row r="8" customFormat="false" ht="15" hidden="false" customHeight="false" outlineLevel="0" collapsed="false">
      <c r="B8" s="25" t="s">
        <v>239</v>
      </c>
      <c r="C8" s="29" t="s">
        <v>240</v>
      </c>
      <c r="D8" s="29" t="s">
        <v>241</v>
      </c>
      <c r="E8" s="29" t="s">
        <v>242</v>
      </c>
      <c r="F8" s="11" t="s">
        <v>234</v>
      </c>
    </row>
    <row r="9" customFormat="false" ht="15" hidden="false" customHeight="false" outlineLevel="0" collapsed="false">
      <c r="B9" s="25" t="s">
        <v>243</v>
      </c>
      <c r="C9" s="29" t="s">
        <v>244</v>
      </c>
      <c r="D9" s="29" t="s">
        <v>244</v>
      </c>
      <c r="E9" s="29" t="s">
        <v>245</v>
      </c>
      <c r="F9" s="11" t="s">
        <v>234</v>
      </c>
    </row>
    <row r="10" customFormat="false" ht="15" hidden="false" customHeight="false" outlineLevel="0" collapsed="false">
      <c r="B10" s="25" t="s">
        <v>246</v>
      </c>
      <c r="C10" s="29" t="s">
        <v>247</v>
      </c>
      <c r="D10" s="29" t="s">
        <v>248</v>
      </c>
      <c r="E10" s="29" t="s">
        <v>249</v>
      </c>
      <c r="F10" s="11" t="s">
        <v>234</v>
      </c>
    </row>
    <row r="11" customFormat="false" ht="15" hidden="false" customHeight="false" outlineLevel="0" collapsed="false">
      <c r="B11" s="25" t="s">
        <v>250</v>
      </c>
      <c r="C11" s="29" t="s">
        <v>251</v>
      </c>
      <c r="D11" s="29" t="s">
        <v>252</v>
      </c>
      <c r="E11" s="29" t="s">
        <v>253</v>
      </c>
      <c r="F11" s="11" t="s">
        <v>254</v>
      </c>
    </row>
    <row r="12" customFormat="false" ht="15" hidden="false" customHeight="false" outlineLevel="0" collapsed="false">
      <c r="B12" s="25" t="s">
        <v>255</v>
      </c>
      <c r="C12" s="29" t="s">
        <v>256</v>
      </c>
      <c r="D12" s="29" t="s">
        <v>257</v>
      </c>
      <c r="E12" s="29" t="s">
        <v>258</v>
      </c>
      <c r="F12" s="11" t="s">
        <v>254</v>
      </c>
    </row>
    <row r="13" customFormat="false" ht="15" hidden="false" customHeight="false" outlineLevel="0" collapsed="false">
      <c r="B13" s="25" t="s">
        <v>168</v>
      </c>
      <c r="C13" s="29" t="s">
        <v>259</v>
      </c>
      <c r="D13" s="29" t="s">
        <v>260</v>
      </c>
      <c r="E13" s="29" t="s">
        <v>261</v>
      </c>
      <c r="F13" s="11" t="s">
        <v>254</v>
      </c>
    </row>
    <row r="14" customFormat="false" ht="15" hidden="false" customHeight="false" outlineLevel="0" collapsed="false">
      <c r="B14" s="25" t="s">
        <v>262</v>
      </c>
      <c r="C14" s="29" t="s">
        <v>263</v>
      </c>
      <c r="D14" s="29" t="s">
        <v>263</v>
      </c>
      <c r="E14" s="29" t="s">
        <v>264</v>
      </c>
      <c r="F14" s="11" t="s">
        <v>265</v>
      </c>
    </row>
    <row r="15" customFormat="false" ht="15" hidden="false" customHeight="false" outlineLevel="0" collapsed="false">
      <c r="B15" s="25" t="s">
        <v>266</v>
      </c>
      <c r="C15" s="29" t="s">
        <v>267</v>
      </c>
      <c r="D15" s="29" t="s">
        <v>268</v>
      </c>
      <c r="E15" s="29" t="s">
        <v>269</v>
      </c>
      <c r="F15" s="11" t="s">
        <v>270</v>
      </c>
    </row>
    <row r="16" customFormat="false" ht="15" hidden="false" customHeight="false" outlineLevel="0" collapsed="false">
      <c r="B16" s="25" t="s">
        <v>271</v>
      </c>
      <c r="C16" s="29" t="s">
        <v>272</v>
      </c>
      <c r="D16" s="29" t="s">
        <v>273</v>
      </c>
      <c r="E16" s="29" t="s">
        <v>274</v>
      </c>
      <c r="F16" s="11" t="s">
        <v>270</v>
      </c>
    </row>
    <row r="17" customFormat="false" ht="15" hidden="false" customHeight="false" outlineLevel="0" collapsed="false">
      <c r="B17" s="25" t="s">
        <v>275</v>
      </c>
      <c r="C17" s="29" t="s">
        <v>276</v>
      </c>
      <c r="D17" s="29" t="s">
        <v>154</v>
      </c>
      <c r="E17" s="29" t="s">
        <v>154</v>
      </c>
      <c r="F17" s="11" t="s">
        <v>277</v>
      </c>
    </row>
    <row r="18" customFormat="false" ht="15" hidden="false" customHeight="false" outlineLevel="0" collapsed="false">
      <c r="B18" s="25" t="s">
        <v>278</v>
      </c>
      <c r="C18" s="29" t="s">
        <v>279</v>
      </c>
      <c r="D18" s="29" t="s">
        <v>280</v>
      </c>
      <c r="E18" s="29" t="s">
        <v>281</v>
      </c>
      <c r="F18" s="11" t="s">
        <v>270</v>
      </c>
    </row>
    <row r="19" customFormat="false" ht="15" hidden="false" customHeight="false" outlineLevel="0" collapsed="false">
      <c r="B19" s="25" t="s">
        <v>282</v>
      </c>
      <c r="C19" s="29" t="s">
        <v>283</v>
      </c>
      <c r="D19" s="29" t="s">
        <v>284</v>
      </c>
      <c r="E19" s="29" t="s">
        <v>285</v>
      </c>
      <c r="F19" s="11" t="s">
        <v>277</v>
      </c>
    </row>
    <row r="20" customFormat="false" ht="15" hidden="false" customHeight="false" outlineLevel="0" collapsed="false">
      <c r="B20" s="25" t="s">
        <v>286</v>
      </c>
      <c r="C20" s="29" t="s">
        <v>287</v>
      </c>
      <c r="D20" s="29" t="s">
        <v>288</v>
      </c>
      <c r="E20" s="29" t="s">
        <v>289</v>
      </c>
      <c r="F20" s="11" t="s">
        <v>290</v>
      </c>
    </row>
    <row r="21" customFormat="false" ht="15" hidden="false" customHeight="false" outlineLevel="0" collapsed="false">
      <c r="B21" s="25" t="s">
        <v>291</v>
      </c>
      <c r="C21" s="29" t="s">
        <v>292</v>
      </c>
      <c r="D21" s="29" t="s">
        <v>154</v>
      </c>
      <c r="E21" s="29" t="s">
        <v>154</v>
      </c>
      <c r="F21" s="11" t="s">
        <v>293</v>
      </c>
    </row>
    <row r="23" customFormat="false" ht="66" hidden="false" customHeight="true" outlineLevel="0" collapsed="false">
      <c r="B23" s="28" t="s">
        <v>294</v>
      </c>
      <c r="C23" s="28"/>
      <c r="D23" s="28"/>
      <c r="E23" s="28"/>
      <c r="F23" s="28"/>
    </row>
    <row r="24" customFormat="false" ht="39.75" hidden="false" customHeight="true" outlineLevel="0" collapsed="false">
      <c r="B24" s="12" t="s">
        <v>295</v>
      </c>
      <c r="C24" s="12"/>
      <c r="D24" s="12"/>
      <c r="E24" s="12"/>
      <c r="F24" s="12"/>
    </row>
  </sheetData>
  <mergeCells count="4">
    <mergeCell ref="A1:F1"/>
    <mergeCell ref="A2:F2"/>
    <mergeCell ref="B23:F23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9" min="3" style="0" width="12"/>
  </cols>
  <sheetData>
    <row r="1" customFormat="false" ht="24" hidden="false" customHeight="true" outlineLevel="0" collapsed="false">
      <c r="A1" s="13" t="s">
        <v>296</v>
      </c>
      <c r="B1" s="13"/>
      <c r="C1" s="13"/>
      <c r="D1" s="13"/>
      <c r="E1" s="13"/>
      <c r="F1" s="13"/>
      <c r="G1" s="13"/>
      <c r="H1" s="13"/>
      <c r="I1" s="13"/>
    </row>
    <row r="2" customFormat="false" ht="15" hidden="false" customHeight="true" outlineLevel="0" collapsed="false">
      <c r="A2" s="2" t="s">
        <v>297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30" t="s">
        <v>298</v>
      </c>
      <c r="C4" s="31"/>
      <c r="D4" s="31"/>
      <c r="E4" s="31"/>
      <c r="F4" s="31"/>
      <c r="G4" s="31"/>
      <c r="H4" s="31"/>
      <c r="I4" s="31"/>
    </row>
    <row r="5" customFormat="false" ht="27.75" hidden="false" customHeight="true" outlineLevel="0" collapsed="false">
      <c r="B5" s="10"/>
      <c r="C5" s="32" t="s">
        <v>299</v>
      </c>
      <c r="D5" s="33" t="s">
        <v>300</v>
      </c>
      <c r="E5" s="33" t="s">
        <v>301</v>
      </c>
      <c r="F5" s="34" t="s">
        <v>302</v>
      </c>
      <c r="G5" s="34" t="s">
        <v>303</v>
      </c>
      <c r="H5" s="35" t="s">
        <v>304</v>
      </c>
      <c r="I5" s="35" t="s">
        <v>305</v>
      </c>
    </row>
    <row r="6" customFormat="false" ht="15" hidden="false" customHeight="false" outlineLevel="0" collapsed="false">
      <c r="B6" s="36" t="s">
        <v>306</v>
      </c>
      <c r="C6" s="37" t="n">
        <v>78</v>
      </c>
      <c r="D6" s="37" t="n">
        <v>72</v>
      </c>
      <c r="E6" s="37" t="n">
        <v>72</v>
      </c>
      <c r="F6" s="37" t="n">
        <v>80</v>
      </c>
      <c r="G6" s="37" t="n">
        <v>78</v>
      </c>
      <c r="H6" s="37" t="n">
        <v>100</v>
      </c>
      <c r="I6" s="37" t="n">
        <v>100</v>
      </c>
    </row>
    <row r="7" customFormat="false" ht="15" hidden="false" customHeight="false" outlineLevel="0" collapsed="false">
      <c r="B7" s="36" t="s">
        <v>307</v>
      </c>
      <c r="C7" s="38" t="n">
        <v>18.4</v>
      </c>
      <c r="D7" s="38" t="n">
        <v>16</v>
      </c>
      <c r="E7" s="38" t="n">
        <v>15.8</v>
      </c>
      <c r="F7" s="38" t="n">
        <v>16.5</v>
      </c>
      <c r="G7" s="38" t="n">
        <v>16.8</v>
      </c>
      <c r="H7" s="38" t="n">
        <v>17.5</v>
      </c>
      <c r="I7" s="38" t="n">
        <v>18</v>
      </c>
    </row>
    <row r="8" customFormat="false" ht="15" hidden="false" customHeight="false" outlineLevel="0" collapsed="false">
      <c r="B8" s="36" t="s">
        <v>308</v>
      </c>
      <c r="C8" s="39" t="n">
        <v>0.07</v>
      </c>
      <c r="D8" s="39" t="n">
        <v>0.0667</v>
      </c>
      <c r="E8" s="39" t="n">
        <v>0.0625</v>
      </c>
      <c r="F8" s="39" t="n">
        <v>0.07</v>
      </c>
      <c r="G8" s="39" t="n">
        <v>0.0675</v>
      </c>
      <c r="H8" s="39" t="n">
        <v>0.0817</v>
      </c>
      <c r="I8" s="39" t="n">
        <v>0.0817</v>
      </c>
    </row>
    <row r="9" customFormat="false" ht="15" hidden="false" customHeight="false" outlineLevel="0" collapsed="false">
      <c r="B9" s="36" t="s">
        <v>309</v>
      </c>
      <c r="C9" s="38" t="n">
        <v>28.06</v>
      </c>
      <c r="D9" s="38" t="n">
        <v>25.5</v>
      </c>
      <c r="E9" s="38" t="n">
        <v>24.5</v>
      </c>
      <c r="F9" s="38" t="n">
        <v>27</v>
      </c>
      <c r="G9" s="38" t="n">
        <v>27</v>
      </c>
      <c r="H9" s="38" t="n">
        <v>29.5</v>
      </c>
      <c r="I9" s="38" t="n">
        <v>30.5</v>
      </c>
    </row>
    <row r="11" customFormat="false" ht="15" hidden="false" customHeight="false" outlineLevel="0" collapsed="false">
      <c r="B11" s="40" t="s">
        <v>310</v>
      </c>
      <c r="C11" s="41"/>
      <c r="D11" s="41"/>
      <c r="E11" s="41"/>
      <c r="F11" s="41"/>
      <c r="G11" s="41"/>
      <c r="H11" s="41"/>
      <c r="I11" s="41"/>
    </row>
    <row r="12" customFormat="false" ht="27.75" hidden="false" customHeight="true" outlineLevel="0" collapsed="false">
      <c r="B12" s="10"/>
      <c r="C12" s="32" t="s">
        <v>299</v>
      </c>
      <c r="D12" s="33" t="s">
        <v>300</v>
      </c>
      <c r="E12" s="33" t="s">
        <v>301</v>
      </c>
      <c r="F12" s="34" t="s">
        <v>302</v>
      </c>
      <c r="G12" s="34" t="s">
        <v>303</v>
      </c>
      <c r="H12" s="35" t="s">
        <v>304</v>
      </c>
      <c r="I12" s="35" t="s">
        <v>305</v>
      </c>
    </row>
    <row r="13" customFormat="false" ht="15" hidden="false" customHeight="false" outlineLevel="0" collapsed="false">
      <c r="B13" s="36" t="s">
        <v>311</v>
      </c>
      <c r="C13" s="42" t="n">
        <v>0.023</v>
      </c>
      <c r="D13" s="42" t="n">
        <v>0.03</v>
      </c>
      <c r="E13" s="42" t="n">
        <v>0.03</v>
      </c>
      <c r="F13" s="42" t="n">
        <v>0.04</v>
      </c>
      <c r="G13" s="42" t="n">
        <v>0.04</v>
      </c>
      <c r="H13" s="42" t="n">
        <v>0.055</v>
      </c>
      <c r="I13" s="42" t="n">
        <v>0.05</v>
      </c>
    </row>
    <row r="14" customFormat="false" ht="15" hidden="false" customHeight="false" outlineLevel="0" collapsed="false">
      <c r="B14" s="36" t="s">
        <v>312</v>
      </c>
      <c r="C14" s="42" t="n">
        <v>0.066</v>
      </c>
      <c r="D14" s="42" t="n">
        <v>0.04</v>
      </c>
      <c r="E14" s="42" t="n">
        <v>0.04</v>
      </c>
      <c r="F14" s="42" t="n">
        <v>0.025</v>
      </c>
      <c r="G14" s="42" t="n">
        <v>0.025</v>
      </c>
      <c r="H14" s="42" t="n">
        <v>0.015</v>
      </c>
      <c r="I14" s="42" t="n">
        <v>0.015</v>
      </c>
    </row>
    <row r="15" customFormat="false" ht="15" hidden="false" customHeight="false" outlineLevel="0" collapsed="false">
      <c r="B15" s="36" t="s">
        <v>313</v>
      </c>
      <c r="C15" s="42" t="n">
        <v>0.243</v>
      </c>
      <c r="D15" s="42" t="n">
        <v>0.243</v>
      </c>
      <c r="E15" s="42" t="n">
        <v>0.244</v>
      </c>
      <c r="F15" s="42" t="n">
        <v>0.242</v>
      </c>
      <c r="G15" s="42" t="n">
        <v>0.242</v>
      </c>
      <c r="H15" s="42" t="n">
        <v>0.24</v>
      </c>
      <c r="I15" s="42" t="n">
        <v>0.239</v>
      </c>
    </row>
    <row r="16" customFormat="false" ht="15" hidden="false" customHeight="false" outlineLevel="0" collapsed="false">
      <c r="B16" s="36" t="s">
        <v>314</v>
      </c>
      <c r="C16" s="42" t="n">
        <v>0.059</v>
      </c>
      <c r="D16" s="42" t="n">
        <v>0.059</v>
      </c>
      <c r="E16" s="42" t="n">
        <v>0.0595</v>
      </c>
      <c r="F16" s="42" t="n">
        <v>0.0585</v>
      </c>
      <c r="G16" s="42" t="n">
        <v>0.0588</v>
      </c>
      <c r="H16" s="42" t="n">
        <v>0.058</v>
      </c>
      <c r="I16" s="42" t="n">
        <v>0.0572</v>
      </c>
    </row>
    <row r="17" customFormat="false" ht="15" hidden="false" customHeight="false" outlineLevel="0" collapsed="false">
      <c r="B17" s="36" t="s">
        <v>315</v>
      </c>
      <c r="C17" s="37" t="n">
        <v>4800</v>
      </c>
      <c r="D17" s="37" t="n">
        <v>4700</v>
      </c>
      <c r="E17" s="37" t="n">
        <v>4600</v>
      </c>
      <c r="F17" s="37" t="n">
        <v>4950</v>
      </c>
      <c r="G17" s="37" t="n">
        <v>4900</v>
      </c>
      <c r="H17" s="37" t="n">
        <v>5000</v>
      </c>
      <c r="I17" s="37" t="n">
        <v>5300</v>
      </c>
    </row>
    <row r="18" customFormat="false" ht="15" hidden="false" customHeight="false" outlineLevel="0" collapsed="false">
      <c r="B18" s="36" t="s">
        <v>316</v>
      </c>
      <c r="C18" s="42" t="n">
        <v>0.27</v>
      </c>
      <c r="D18" s="42" t="n">
        <v>0.27</v>
      </c>
      <c r="E18" s="42" t="n">
        <v>0.27</v>
      </c>
      <c r="F18" s="42" t="n">
        <v>0.27</v>
      </c>
      <c r="G18" s="42" t="n">
        <v>0.27</v>
      </c>
      <c r="H18" s="42" t="n">
        <v>0.27</v>
      </c>
      <c r="I18" s="42" t="n">
        <v>0.27</v>
      </c>
    </row>
    <row r="19" customFormat="false" ht="15" hidden="false" customHeight="false" outlineLevel="0" collapsed="false">
      <c r="B19" s="36" t="s">
        <v>317</v>
      </c>
      <c r="C19" s="43" t="n">
        <v>1.75</v>
      </c>
      <c r="D19" s="43" t="n">
        <v>1.75</v>
      </c>
      <c r="E19" s="43" t="n">
        <v>1.75</v>
      </c>
      <c r="F19" s="43" t="n">
        <v>1.75</v>
      </c>
      <c r="G19" s="43" t="n">
        <v>1.75</v>
      </c>
      <c r="H19" s="43" t="n">
        <v>1.75</v>
      </c>
      <c r="I19" s="43" t="n">
        <v>1.75</v>
      </c>
    </row>
    <row r="20" customFormat="false" ht="15" hidden="false" customHeight="false" outlineLevel="0" collapsed="false">
      <c r="B20" s="36" t="s">
        <v>318</v>
      </c>
      <c r="C20" s="44" t="n">
        <v>1.0158</v>
      </c>
      <c r="D20" s="44" t="n">
        <v>1.0158</v>
      </c>
      <c r="E20" s="44" t="n">
        <v>1.0158</v>
      </c>
      <c r="F20" s="44" t="n">
        <v>1.0158</v>
      </c>
      <c r="G20" s="44" t="n">
        <v>1.0158</v>
      </c>
      <c r="H20" s="44" t="n">
        <v>1.0158</v>
      </c>
      <c r="I20" s="44" t="n">
        <v>1.0158</v>
      </c>
    </row>
    <row r="21" customFormat="false" ht="15" hidden="false" customHeight="false" outlineLevel="0" collapsed="false">
      <c r="B21" s="36" t="s">
        <v>319</v>
      </c>
      <c r="C21" s="38" t="n">
        <v>539.8</v>
      </c>
      <c r="D21" s="38" t="n">
        <v>539.8</v>
      </c>
      <c r="E21" s="38" t="n">
        <v>539.8</v>
      </c>
      <c r="F21" s="38" t="n">
        <v>539.8</v>
      </c>
      <c r="G21" s="38" t="n">
        <v>539.8</v>
      </c>
      <c r="H21" s="38" t="n">
        <v>539.8</v>
      </c>
      <c r="I21" s="38" t="n">
        <v>539.8</v>
      </c>
    </row>
    <row r="23" customFormat="false" ht="15" hidden="false" customHeight="false" outlineLevel="0" collapsed="false">
      <c r="B23" s="45" t="s">
        <v>320</v>
      </c>
      <c r="C23" s="46"/>
      <c r="D23" s="46"/>
      <c r="E23" s="46"/>
      <c r="F23" s="46"/>
      <c r="G23" s="46"/>
      <c r="H23" s="46"/>
      <c r="I23" s="46"/>
    </row>
    <row r="24" customFormat="false" ht="27.75" hidden="false" customHeight="true" outlineLevel="0" collapsed="false">
      <c r="B24" s="10"/>
      <c r="C24" s="32" t="s">
        <v>299</v>
      </c>
      <c r="D24" s="33" t="s">
        <v>300</v>
      </c>
      <c r="E24" s="33" t="s">
        <v>301</v>
      </c>
      <c r="F24" s="34" t="s">
        <v>302</v>
      </c>
      <c r="G24" s="34" t="s">
        <v>303</v>
      </c>
      <c r="H24" s="35" t="s">
        <v>304</v>
      </c>
      <c r="I24" s="35" t="s">
        <v>305</v>
      </c>
    </row>
    <row r="25" customFormat="false" ht="15" hidden="false" customHeight="false" outlineLevel="0" collapsed="false">
      <c r="B25" s="36" t="s">
        <v>321</v>
      </c>
      <c r="C25" s="42" t="n">
        <v>0.016</v>
      </c>
      <c r="D25" s="42" t="n">
        <v>0.04</v>
      </c>
      <c r="E25" s="42" t="n">
        <v>0.045</v>
      </c>
      <c r="F25" s="42" t="n">
        <v>0.03</v>
      </c>
      <c r="G25" s="42" t="n">
        <v>0.035</v>
      </c>
      <c r="H25" s="42" t="n">
        <v>0.025</v>
      </c>
      <c r="I25" s="42" t="n">
        <v>0.025</v>
      </c>
    </row>
    <row r="26" customFormat="false" ht="15" hidden="false" customHeight="false" outlineLevel="0" collapsed="false">
      <c r="B26" s="36" t="s">
        <v>313</v>
      </c>
      <c r="C26" s="42" t="n">
        <v>0.108</v>
      </c>
      <c r="D26" s="42" t="n">
        <v>0.109</v>
      </c>
      <c r="E26" s="42" t="n">
        <v>0.11</v>
      </c>
      <c r="F26" s="42" t="n">
        <v>0.108</v>
      </c>
      <c r="G26" s="42" t="n">
        <v>0.109</v>
      </c>
      <c r="H26" s="42" t="n">
        <v>0.106</v>
      </c>
      <c r="I26" s="42" t="n">
        <v>0.106</v>
      </c>
    </row>
    <row r="27" customFormat="false" ht="15" hidden="false" customHeight="false" outlineLevel="0" collapsed="false">
      <c r="B27" s="36" t="s">
        <v>322</v>
      </c>
      <c r="C27" s="42" t="n">
        <v>0.021</v>
      </c>
      <c r="D27" s="42" t="n">
        <v>0.016</v>
      </c>
      <c r="E27" s="42" t="n">
        <v>0.021</v>
      </c>
      <c r="F27" s="42" t="n">
        <v>0.014</v>
      </c>
      <c r="G27" s="42" t="n">
        <v>0.018</v>
      </c>
      <c r="H27" s="42" t="n">
        <v>0.012</v>
      </c>
      <c r="I27" s="42" t="n">
        <v>0.014</v>
      </c>
    </row>
    <row r="28" customFormat="false" ht="15" hidden="false" customHeight="false" outlineLevel="0" collapsed="false">
      <c r="B28" s="36" t="s">
        <v>323</v>
      </c>
      <c r="C28" s="37" t="n">
        <v>720</v>
      </c>
      <c r="D28" s="37" t="n">
        <v>620</v>
      </c>
      <c r="E28" s="37" t="n">
        <v>520</v>
      </c>
      <c r="F28" s="37" t="n">
        <v>720</v>
      </c>
      <c r="G28" s="37" t="n">
        <v>650</v>
      </c>
      <c r="H28" s="37" t="n">
        <v>850</v>
      </c>
      <c r="I28" s="37" t="n">
        <v>900</v>
      </c>
    </row>
    <row r="29" customFormat="false" ht="15" hidden="false" customHeight="false" outlineLevel="0" collapsed="false">
      <c r="B29" s="36" t="s">
        <v>324</v>
      </c>
      <c r="C29" s="38" t="n">
        <v>795.8</v>
      </c>
      <c r="D29" s="38" t="n">
        <v>470</v>
      </c>
      <c r="E29" s="38" t="n">
        <v>640</v>
      </c>
      <c r="F29" s="38" t="n">
        <v>420</v>
      </c>
      <c r="G29" s="38" t="n">
        <v>540</v>
      </c>
      <c r="H29" s="38" t="n">
        <v>380</v>
      </c>
      <c r="I29" s="38" t="n">
        <v>430</v>
      </c>
    </row>
    <row r="30" customFormat="false" ht="15" hidden="false" customHeight="false" outlineLevel="0" collapsed="false">
      <c r="B30" s="36" t="s">
        <v>325</v>
      </c>
      <c r="C30" s="37" t="n">
        <v>5400</v>
      </c>
      <c r="D30" s="37" t="n">
        <v>4700</v>
      </c>
      <c r="E30" s="37" t="n">
        <v>3700</v>
      </c>
      <c r="F30" s="37" t="n">
        <v>5000</v>
      </c>
      <c r="G30" s="37" t="n">
        <v>4400</v>
      </c>
      <c r="H30" s="37" t="n">
        <v>5700</v>
      </c>
      <c r="I30" s="37" t="n">
        <v>5500</v>
      </c>
    </row>
    <row r="31" customFormat="false" ht="15" hidden="false" customHeight="false" outlineLevel="0" collapsed="false">
      <c r="B31" s="36" t="s">
        <v>326</v>
      </c>
      <c r="C31" s="43" t="n">
        <v>1.74</v>
      </c>
      <c r="D31" s="43" t="n">
        <v>1.5</v>
      </c>
      <c r="E31" s="43" t="n">
        <v>1.1</v>
      </c>
      <c r="F31" s="43" t="n">
        <v>1.6</v>
      </c>
      <c r="G31" s="43" t="n">
        <v>1.4</v>
      </c>
      <c r="H31" s="43" t="n">
        <v>1.9</v>
      </c>
      <c r="I31" s="43" t="n">
        <v>1.8</v>
      </c>
    </row>
    <row r="32" customFormat="false" ht="15" hidden="false" customHeight="false" outlineLevel="0" collapsed="false">
      <c r="B32" s="36" t="s">
        <v>327</v>
      </c>
      <c r="C32" s="38" t="n">
        <v>0</v>
      </c>
      <c r="D32" s="38" t="n">
        <v>0</v>
      </c>
      <c r="E32" s="38" t="n">
        <v>120</v>
      </c>
      <c r="F32" s="38" t="n">
        <v>0</v>
      </c>
      <c r="G32" s="38" t="n">
        <v>60</v>
      </c>
      <c r="H32" s="38" t="n">
        <v>0</v>
      </c>
      <c r="I32" s="38" t="n">
        <v>0</v>
      </c>
    </row>
    <row r="33" customFormat="false" ht="15" hidden="false" customHeight="false" outlineLevel="0" collapsed="false">
      <c r="B33" s="36" t="s">
        <v>328</v>
      </c>
      <c r="C33" s="37" t="n">
        <v>193</v>
      </c>
      <c r="D33" s="37" t="n">
        <v>193</v>
      </c>
      <c r="E33" s="37" t="n">
        <v>193</v>
      </c>
      <c r="F33" s="37" t="n">
        <v>193</v>
      </c>
      <c r="G33" s="37" t="n">
        <v>193</v>
      </c>
      <c r="H33" s="37" t="n">
        <v>193</v>
      </c>
      <c r="I33" s="37" t="n">
        <v>193</v>
      </c>
    </row>
    <row r="35" customFormat="false" ht="73.5" hidden="false" customHeight="true" outlineLevel="0" collapsed="false">
      <c r="B35" s="28" t="s">
        <v>329</v>
      </c>
      <c r="C35" s="28"/>
      <c r="D35" s="28"/>
      <c r="E35" s="28"/>
      <c r="F35" s="28"/>
      <c r="G35" s="28"/>
      <c r="H35" s="28"/>
      <c r="I35" s="28"/>
    </row>
  </sheetData>
  <mergeCells count="3">
    <mergeCell ref="A1:I1"/>
    <mergeCell ref="A2:I2"/>
    <mergeCell ref="B35:I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9" min="3" style="0" width="13"/>
  </cols>
  <sheetData>
    <row r="1" customFormat="false" ht="24" hidden="false" customHeight="true" outlineLevel="0" collapsed="false">
      <c r="A1" s="13" t="s">
        <v>330</v>
      </c>
      <c r="B1" s="13"/>
      <c r="C1" s="13"/>
      <c r="D1" s="13"/>
      <c r="E1" s="13"/>
      <c r="F1" s="13"/>
      <c r="G1" s="13"/>
      <c r="H1" s="13"/>
      <c r="I1" s="13"/>
    </row>
    <row r="2" customFormat="false" ht="15" hidden="false" customHeight="true" outlineLevel="0" collapsed="false">
      <c r="A2" s="2" t="s">
        <v>331</v>
      </c>
      <c r="B2" s="2"/>
      <c r="C2" s="2"/>
      <c r="D2" s="2"/>
      <c r="E2" s="2"/>
      <c r="F2" s="2"/>
      <c r="G2" s="2"/>
      <c r="H2" s="2"/>
      <c r="I2" s="2"/>
    </row>
    <row r="4" customFormat="false" ht="25.5" hidden="false" customHeight="true" outlineLevel="0" collapsed="false">
      <c r="B4" s="47" t="s">
        <v>332</v>
      </c>
      <c r="C4" s="32" t="s">
        <v>299</v>
      </c>
      <c r="D4" s="33" t="s">
        <v>333</v>
      </c>
      <c r="E4" s="33" t="s">
        <v>334</v>
      </c>
      <c r="F4" s="34" t="s">
        <v>335</v>
      </c>
      <c r="G4" s="34" t="s">
        <v>336</v>
      </c>
      <c r="H4" s="35" t="s">
        <v>337</v>
      </c>
      <c r="I4" s="35" t="s">
        <v>338</v>
      </c>
    </row>
    <row r="5" customFormat="false" ht="15" hidden="false" customHeight="false" outlineLevel="0" collapsed="false">
      <c r="B5" s="25" t="s">
        <v>143</v>
      </c>
      <c r="C5" s="48" t="n">
        <v>252700</v>
      </c>
      <c r="D5" s="48" t="n">
        <f aca="false">C5*(1+Assumptions!$D$13+Assumptions!$D$14)</f>
        <v>270389</v>
      </c>
      <c r="E5" s="48" t="n">
        <f aca="false">D5*(1+Assumptions!$E$13+Assumptions!$E$14)</f>
        <v>289316.23</v>
      </c>
      <c r="F5" s="48" t="n">
        <f aca="false">C5*(1+Assumptions!$F$13+Assumptions!$F$14)</f>
        <v>269125.5</v>
      </c>
      <c r="G5" s="48" t="n">
        <f aca="false">F5*(1+Assumptions!$G$13+Assumptions!$G$14)</f>
        <v>286618.6575</v>
      </c>
      <c r="H5" s="48" t="n">
        <f aca="false">C5*(1+Assumptions!$H$13+Assumptions!$H$14)</f>
        <v>270389</v>
      </c>
      <c r="I5" s="48" t="n">
        <f aca="false">H5*(1+Assumptions!$I$13+Assumptions!$I$14)</f>
        <v>287964.285</v>
      </c>
    </row>
    <row r="6" customFormat="false" ht="15" hidden="false" customHeight="false" outlineLevel="0" collapsed="false">
      <c r="B6" s="26" t="s">
        <v>339</v>
      </c>
      <c r="C6" s="49" t="n">
        <v>0.089</v>
      </c>
      <c r="D6" s="49" t="n">
        <f aca="false">D5/C5-1</f>
        <v>0.0700000000000001</v>
      </c>
      <c r="E6" s="49" t="n">
        <f aca="false">E5/D5-1</f>
        <v>0.0700000000000001</v>
      </c>
      <c r="F6" s="49" t="n">
        <f aca="false">F5/C5-1</f>
        <v>0.065</v>
      </c>
      <c r="G6" s="49" t="n">
        <f aca="false">G5/F5-1</f>
        <v>0.065</v>
      </c>
      <c r="H6" s="49" t="n">
        <f aca="false">H5/C5-1</f>
        <v>0.0699999999999998</v>
      </c>
      <c r="I6" s="49" t="n">
        <f aca="false">I5/H5-1</f>
        <v>0.065</v>
      </c>
    </row>
    <row r="7" customFormat="false" ht="15" hidden="false" customHeight="false" outlineLevel="0" collapsed="false">
      <c r="B7" s="26" t="s">
        <v>340</v>
      </c>
      <c r="C7" s="48" t="n">
        <f aca="false">C5*Assumptions!$C$20</f>
        <v>256692.66</v>
      </c>
      <c r="D7" s="48" t="n">
        <f aca="false">D5*Assumptions!$D$20</f>
        <v>274661.1462</v>
      </c>
      <c r="E7" s="48" t="n">
        <f aca="false">E5*Assumptions!$E$20</f>
        <v>293887.426434</v>
      </c>
      <c r="F7" s="48" t="n">
        <f aca="false">F5*Assumptions!$F$20</f>
        <v>273377.6829</v>
      </c>
      <c r="G7" s="48" t="n">
        <f aca="false">G5*Assumptions!$G$20</f>
        <v>291147.2322885</v>
      </c>
      <c r="H7" s="48" t="n">
        <f aca="false">H5*Assumptions!$H$20</f>
        <v>274661.1462</v>
      </c>
      <c r="I7" s="48" t="n">
        <f aca="false">I5*Assumptions!$I$20</f>
        <v>292514.120703</v>
      </c>
    </row>
    <row r="8" customFormat="false" ht="15" hidden="false" customHeight="false" outlineLevel="0" collapsed="false">
      <c r="B8" s="26" t="s">
        <v>341</v>
      </c>
      <c r="C8" s="48" t="n">
        <f aca="false">C5*Assumptions!$C$15</f>
        <v>61406.1</v>
      </c>
      <c r="D8" s="48" t="n">
        <f aca="false">D5*Assumptions!$D$15</f>
        <v>65704.527</v>
      </c>
      <c r="E8" s="48" t="n">
        <f aca="false">E5*Assumptions!$E$15</f>
        <v>70593.16012</v>
      </c>
      <c r="F8" s="48" t="n">
        <f aca="false">F5*Assumptions!$F$15</f>
        <v>65128.371</v>
      </c>
      <c r="G8" s="48" t="n">
        <f aca="false">G5*Assumptions!$G$15</f>
        <v>69361.715115</v>
      </c>
      <c r="H8" s="48" t="n">
        <f aca="false">H5*Assumptions!$H$15</f>
        <v>64893.36</v>
      </c>
      <c r="I8" s="48" t="n">
        <f aca="false">I5*Assumptions!$I$15</f>
        <v>68823.464115</v>
      </c>
    </row>
    <row r="9" customFormat="false" ht="15" hidden="false" customHeight="false" outlineLevel="0" collapsed="false">
      <c r="B9" s="26" t="s">
        <v>342</v>
      </c>
      <c r="C9" s="49" t="n">
        <f aca="false">C8/C5</f>
        <v>0.243</v>
      </c>
      <c r="D9" s="49" t="n">
        <f aca="false">D8/D5</f>
        <v>0.243</v>
      </c>
      <c r="E9" s="49" t="n">
        <f aca="false">E8/E5</f>
        <v>0.244</v>
      </c>
      <c r="F9" s="49" t="n">
        <f aca="false">F8/F5</f>
        <v>0.242</v>
      </c>
      <c r="G9" s="49" t="n">
        <f aca="false">G8/G5</f>
        <v>0.242</v>
      </c>
      <c r="H9" s="49" t="n">
        <f aca="false">H8/H5</f>
        <v>0.24</v>
      </c>
      <c r="I9" s="49" t="n">
        <f aca="false">I8/I5</f>
        <v>0.239</v>
      </c>
    </row>
    <row r="10" customFormat="false" ht="15" hidden="false" customHeight="false" outlineLevel="0" collapsed="false">
      <c r="B10" s="25" t="s">
        <v>161</v>
      </c>
      <c r="C10" s="50" t="n">
        <f aca="false">C5*Assumptions!$C$16</f>
        <v>14909.3</v>
      </c>
      <c r="D10" s="50" t="n">
        <f aca="false">D5*Assumptions!$D$16</f>
        <v>15952.951</v>
      </c>
      <c r="E10" s="50" t="n">
        <f aca="false">E5*Assumptions!$E$16</f>
        <v>17214.315685</v>
      </c>
      <c r="F10" s="50" t="n">
        <f aca="false">F5*Assumptions!$F$16</f>
        <v>15743.84175</v>
      </c>
      <c r="G10" s="50" t="n">
        <f aca="false">G5*Assumptions!$G$16</f>
        <v>16853.177061</v>
      </c>
      <c r="H10" s="50" t="n">
        <f aca="false">H5*Assumptions!$H$16</f>
        <v>15682.562</v>
      </c>
      <c r="I10" s="50" t="n">
        <f aca="false">I5*Assumptions!$I$16</f>
        <v>16471.557102</v>
      </c>
    </row>
    <row r="11" customFormat="false" ht="15" hidden="false" customHeight="false" outlineLevel="0" collapsed="false">
      <c r="B11" s="26" t="s">
        <v>343</v>
      </c>
      <c r="C11" s="49" t="n">
        <f aca="false">C10/C5</f>
        <v>0.059</v>
      </c>
      <c r="D11" s="49" t="n">
        <f aca="false">D10/D5</f>
        <v>0.059</v>
      </c>
      <c r="E11" s="49" t="n">
        <f aca="false">E10/E5</f>
        <v>0.0595</v>
      </c>
      <c r="F11" s="49" t="n">
        <f aca="false">F10/F5</f>
        <v>0.0585</v>
      </c>
      <c r="G11" s="49" t="n">
        <f aca="false">G10/G5</f>
        <v>0.0588</v>
      </c>
      <c r="H11" s="49" t="n">
        <f aca="false">H10/H5</f>
        <v>0.058</v>
      </c>
      <c r="I11" s="49" t="n">
        <f aca="false">I10/I5</f>
        <v>0.0572</v>
      </c>
    </row>
    <row r="12" customFormat="false" ht="15" hidden="false" customHeight="false" outlineLevel="0" collapsed="false">
      <c r="B12" s="26" t="s">
        <v>344</v>
      </c>
      <c r="C12" s="51" t="n">
        <f aca="false">-Assumptions!$C$17</f>
        <v>-4800</v>
      </c>
      <c r="D12" s="51" t="n">
        <f aca="false">-Assumptions!$D$17</f>
        <v>-4700</v>
      </c>
      <c r="E12" s="51" t="n">
        <f aca="false">-Assumptions!$E$17</f>
        <v>-4600</v>
      </c>
      <c r="F12" s="51" t="n">
        <f aca="false">-Assumptions!$F$17</f>
        <v>-4950</v>
      </c>
      <c r="G12" s="51" t="n">
        <f aca="false">-Assumptions!$G$17</f>
        <v>-4900</v>
      </c>
      <c r="H12" s="51" t="n">
        <f aca="false">-Assumptions!$H$17</f>
        <v>-5000</v>
      </c>
      <c r="I12" s="51" t="n">
        <f aca="false">-Assumptions!$I$17</f>
        <v>-5300</v>
      </c>
    </row>
    <row r="13" customFormat="false" ht="15" hidden="false" customHeight="false" outlineLevel="0" collapsed="false">
      <c r="B13" s="26" t="s">
        <v>345</v>
      </c>
      <c r="C13" s="48" t="n">
        <f aca="false">C10+C12</f>
        <v>10109.3</v>
      </c>
      <c r="D13" s="48" t="n">
        <f aca="false">D10+D12</f>
        <v>11252.951</v>
      </c>
      <c r="E13" s="48" t="n">
        <f aca="false">E10+E12</f>
        <v>12614.315685</v>
      </c>
      <c r="F13" s="48" t="n">
        <f aca="false">F10+F12</f>
        <v>10793.84175</v>
      </c>
      <c r="G13" s="48" t="n">
        <f aca="false">G10+G12</f>
        <v>11953.177061</v>
      </c>
      <c r="H13" s="48" t="n">
        <f aca="false">H10+H12</f>
        <v>10682.562</v>
      </c>
      <c r="I13" s="48" t="n">
        <f aca="false">I10+I12</f>
        <v>11171.557102</v>
      </c>
    </row>
    <row r="14" customFormat="false" ht="15" hidden="false" customHeight="false" outlineLevel="0" collapsed="false">
      <c r="B14" s="26" t="s">
        <v>346</v>
      </c>
      <c r="C14" s="48" t="n">
        <f aca="false">-C13*Assumptions!$C$18</f>
        <v>-2729.511</v>
      </c>
      <c r="D14" s="48" t="n">
        <f aca="false">-D13*Assumptions!$D$18</f>
        <v>-3038.29677</v>
      </c>
      <c r="E14" s="48" t="n">
        <f aca="false">-E13*Assumptions!$E$18</f>
        <v>-3405.86523495</v>
      </c>
      <c r="F14" s="48" t="n">
        <f aca="false">-F13*Assumptions!$F$18</f>
        <v>-2914.3372725</v>
      </c>
      <c r="G14" s="48" t="n">
        <f aca="false">-G13*Assumptions!$G$18</f>
        <v>-3227.35780647</v>
      </c>
      <c r="H14" s="48" t="n">
        <f aca="false">-H13*Assumptions!$H$18</f>
        <v>-2884.29174</v>
      </c>
      <c r="I14" s="48" t="n">
        <f aca="false">-I13*Assumptions!$I$18</f>
        <v>-3016.32041754</v>
      </c>
    </row>
    <row r="15" customFormat="false" ht="15" hidden="false" customHeight="false" outlineLevel="0" collapsed="false">
      <c r="B15" s="25" t="s">
        <v>347</v>
      </c>
      <c r="C15" s="50" t="n">
        <f aca="false">C13+C14</f>
        <v>7379.789</v>
      </c>
      <c r="D15" s="50" t="n">
        <f aca="false">D13+D14</f>
        <v>8214.65423</v>
      </c>
      <c r="E15" s="50" t="n">
        <f aca="false">E13+E14</f>
        <v>9208.45045005</v>
      </c>
      <c r="F15" s="50" t="n">
        <f aca="false">F13+F14</f>
        <v>7879.5044775</v>
      </c>
      <c r="G15" s="50" t="n">
        <f aca="false">G13+G14</f>
        <v>8725.81925453</v>
      </c>
      <c r="H15" s="50" t="n">
        <f aca="false">H13+H14</f>
        <v>7798.27026</v>
      </c>
      <c r="I15" s="50" t="n">
        <f aca="false">I13+I14</f>
        <v>8155.23668446</v>
      </c>
    </row>
    <row r="16" customFormat="false" ht="15" hidden="false" customHeight="false" outlineLevel="0" collapsed="false">
      <c r="B16" s="25" t="s">
        <v>348</v>
      </c>
      <c r="C16" s="52" t="n">
        <f aca="false">C15/Assumptions!$C$21*100</f>
        <v>1367.13393849574</v>
      </c>
      <c r="D16" s="52" t="n">
        <f aca="false">D15/Assumptions!$D$21*100</f>
        <v>1521.79589292331</v>
      </c>
      <c r="E16" s="52" t="n">
        <f aca="false">E15/Assumptions!$E$21*100</f>
        <v>1705.90041683031</v>
      </c>
      <c r="F16" s="52" t="n">
        <f aca="false">F15/Assumptions!$F$21*100</f>
        <v>1459.70812847351</v>
      </c>
      <c r="G16" s="52" t="n">
        <f aca="false">G15/Assumptions!$G$21*100</f>
        <v>1616.49115497036</v>
      </c>
      <c r="H16" s="52" t="n">
        <f aca="false">H15/Assumptions!$H$21*100</f>
        <v>1444.65918117821</v>
      </c>
      <c r="I16" s="52" t="n">
        <f aca="false">I15/Assumptions!$I$21*100</f>
        <v>1510.78856696184</v>
      </c>
    </row>
    <row r="17" customFormat="false" ht="15" hidden="false" customHeight="false" outlineLevel="0" collapsed="false">
      <c r="B17" s="26" t="s">
        <v>349</v>
      </c>
      <c r="C17" s="53" t="s">
        <v>154</v>
      </c>
      <c r="D17" s="49" t="n">
        <f aca="false">D16/C16-1</f>
        <v>0.113128604354407</v>
      </c>
      <c r="E17" s="49" t="n">
        <f aca="false">E16/D16-1</f>
        <v>0.120978460227899</v>
      </c>
      <c r="F17" s="49" t="n">
        <f aca="false">F16/C16-1</f>
        <v>0.0677140603206954</v>
      </c>
      <c r="G17" s="49" t="n">
        <f aca="false">G16/F16-1</f>
        <v>0.107407106556847</v>
      </c>
      <c r="H17" s="49" t="n">
        <f aca="false">H16/C16-1</f>
        <v>0.0567063990582928</v>
      </c>
      <c r="I17" s="49" t="n">
        <f aca="false">I16/H16-1</f>
        <v>0.0457750773643999</v>
      </c>
    </row>
    <row r="18" customFormat="false" ht="15" hidden="false" customHeight="false" outlineLevel="0" collapsed="false">
      <c r="B18" s="26" t="s">
        <v>350</v>
      </c>
      <c r="C18" s="54" t="n">
        <f aca="false">C16/Assumptions!$C$19</f>
        <v>781.219393426137</v>
      </c>
      <c r="D18" s="54" t="n">
        <f aca="false">D16/Assumptions!$D$19</f>
        <v>869.597653099031</v>
      </c>
      <c r="E18" s="54" t="n">
        <f aca="false">E16/Assumptions!$E$19</f>
        <v>974.800238188747</v>
      </c>
      <c r="F18" s="54" t="n">
        <f aca="false">F16/Assumptions!$F$19</f>
        <v>834.118930556291</v>
      </c>
      <c r="G18" s="54" t="n">
        <f aca="false">G16/Assumptions!$G$19</f>
        <v>923.709231411634</v>
      </c>
      <c r="H18" s="54" t="n">
        <f aca="false">H16/Assumptions!$H$19</f>
        <v>825.519532101837</v>
      </c>
      <c r="I18" s="54" t="n">
        <f aca="false">I16/Assumptions!$I$19</f>
        <v>863.307752549621</v>
      </c>
    </row>
    <row r="20" customFormat="false" ht="45.75" hidden="false" customHeight="true" outlineLevel="0" collapsed="false">
      <c r="B20" s="28" t="s">
        <v>351</v>
      </c>
      <c r="C20" s="28"/>
      <c r="D20" s="28"/>
      <c r="E20" s="28"/>
      <c r="F20" s="28"/>
      <c r="G20" s="28"/>
      <c r="H20" s="28"/>
      <c r="I20" s="28"/>
    </row>
  </sheetData>
  <mergeCells count="3">
    <mergeCell ref="A1:I1"/>
    <mergeCell ref="A2:I2"/>
    <mergeCell ref="B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9" min="3" style="0" width="13"/>
  </cols>
  <sheetData>
    <row r="1" customFormat="false" ht="24" hidden="false" customHeight="true" outlineLevel="0" collapsed="false">
      <c r="A1" s="13" t="s">
        <v>352</v>
      </c>
      <c r="B1" s="13"/>
      <c r="C1" s="13"/>
      <c r="D1" s="13"/>
      <c r="E1" s="13"/>
      <c r="F1" s="13"/>
      <c r="G1" s="13"/>
      <c r="H1" s="13"/>
      <c r="I1" s="13"/>
    </row>
    <row r="2" customFormat="false" ht="15" hidden="false" customHeight="true" outlineLevel="0" collapsed="false">
      <c r="A2" s="2" t="s">
        <v>353</v>
      </c>
      <c r="B2" s="2"/>
      <c r="C2" s="2"/>
      <c r="D2" s="2"/>
      <c r="E2" s="2"/>
      <c r="F2" s="2"/>
      <c r="G2" s="2"/>
      <c r="H2" s="2"/>
      <c r="I2" s="2"/>
    </row>
    <row r="4" customFormat="false" ht="25.5" hidden="false" customHeight="true" outlineLevel="0" collapsed="false">
      <c r="B4" s="47" t="s">
        <v>332</v>
      </c>
      <c r="C4" s="32" t="s">
        <v>299</v>
      </c>
      <c r="D4" s="55" t="s">
        <v>333</v>
      </c>
      <c r="E4" s="55" t="s">
        <v>334</v>
      </c>
      <c r="F4" s="34" t="s">
        <v>335</v>
      </c>
      <c r="G4" s="34" t="s">
        <v>336</v>
      </c>
      <c r="H4" s="35" t="s">
        <v>337</v>
      </c>
      <c r="I4" s="35" t="s">
        <v>338</v>
      </c>
    </row>
    <row r="5" customFormat="false" ht="15" hidden="false" customHeight="false" outlineLevel="0" collapsed="false">
      <c r="B5" s="25" t="s">
        <v>354</v>
      </c>
      <c r="C5" s="48" t="n">
        <v>132410</v>
      </c>
      <c r="D5" s="48" t="n">
        <f aca="false">C5*(1+Assumptions!$D$25)</f>
        <v>137706.4</v>
      </c>
      <c r="E5" s="48" t="n">
        <f aca="false">D5*(1+Assumptions!$E$25)</f>
        <v>143903.188</v>
      </c>
      <c r="F5" s="48" t="n">
        <f aca="false">C5*(1+Assumptions!$F$25)</f>
        <v>136382.3</v>
      </c>
      <c r="G5" s="48" t="n">
        <f aca="false">F5*(1+Assumptions!$G$25)</f>
        <v>141155.6805</v>
      </c>
      <c r="H5" s="48" t="n">
        <f aca="false">C5*(1+Assumptions!$H$25)</f>
        <v>135720.25</v>
      </c>
      <c r="I5" s="48" t="n">
        <f aca="false">H5*(1+Assumptions!$I$25)</f>
        <v>139113.25625</v>
      </c>
    </row>
    <row r="6" customFormat="false" ht="15" hidden="false" customHeight="false" outlineLevel="0" collapsed="false">
      <c r="B6" s="26" t="s">
        <v>355</v>
      </c>
      <c r="C6" s="49" t="n">
        <v>0.016</v>
      </c>
      <c r="D6" s="49" t="n">
        <f aca="false">D5/C5-1</f>
        <v>0.04</v>
      </c>
      <c r="E6" s="49" t="n">
        <f aca="false">E5/D5-1</f>
        <v>0.0449999999999999</v>
      </c>
      <c r="F6" s="49" t="n">
        <f aca="false">F5/C5-1</f>
        <v>0.03</v>
      </c>
      <c r="G6" s="49" t="n">
        <f aca="false">G5/F5-1</f>
        <v>0.0349999999999999</v>
      </c>
      <c r="H6" s="49" t="n">
        <f aca="false">H5/C5-1</f>
        <v>0.0249999999999999</v>
      </c>
      <c r="I6" s="49" t="n">
        <f aca="false">I5/H5-1</f>
        <v>0.0249999999999999</v>
      </c>
    </row>
    <row r="7" customFormat="false" ht="15" hidden="false" customHeight="false" outlineLevel="0" collapsed="false">
      <c r="B7" s="26" t="s">
        <v>341</v>
      </c>
      <c r="C7" s="48" t="n">
        <f aca="false">C5*Assumptions!$C$26</f>
        <v>14300.28</v>
      </c>
      <c r="D7" s="48" t="n">
        <f aca="false">D5*Assumptions!$D$26</f>
        <v>15009.9976</v>
      </c>
      <c r="E7" s="48" t="n">
        <f aca="false">E5*Assumptions!$E$26</f>
        <v>15829.35068</v>
      </c>
      <c r="F7" s="48" t="n">
        <f aca="false">F5*Assumptions!$F$26</f>
        <v>14729.2884</v>
      </c>
      <c r="G7" s="48" t="n">
        <f aca="false">G5*Assumptions!$G$26</f>
        <v>15385.9691745</v>
      </c>
      <c r="H7" s="48" t="n">
        <f aca="false">H5*Assumptions!$H$26</f>
        <v>14386.3465</v>
      </c>
      <c r="I7" s="48" t="n">
        <f aca="false">I5*Assumptions!$I$26</f>
        <v>14746.0051625</v>
      </c>
    </row>
    <row r="8" customFormat="false" ht="15" hidden="false" customHeight="false" outlineLevel="0" collapsed="false">
      <c r="B8" s="26" t="s">
        <v>342</v>
      </c>
      <c r="C8" s="49" t="n">
        <f aca="false">C7/C5</f>
        <v>0.108</v>
      </c>
      <c r="D8" s="49" t="n">
        <f aca="false">D7/D5</f>
        <v>0.109</v>
      </c>
      <c r="E8" s="49" t="n">
        <f aca="false">E7/E5</f>
        <v>0.11</v>
      </c>
      <c r="F8" s="49" t="n">
        <f aca="false">F7/F5</f>
        <v>0.108</v>
      </c>
      <c r="G8" s="49" t="n">
        <f aca="false">G7/G5</f>
        <v>0.109</v>
      </c>
      <c r="H8" s="49" t="n">
        <f aca="false">H7/H5</f>
        <v>0.106</v>
      </c>
      <c r="I8" s="49" t="n">
        <f aca="false">I7/I5</f>
        <v>0.106</v>
      </c>
    </row>
    <row r="9" customFormat="false" ht="15" hidden="false" customHeight="false" outlineLevel="0" collapsed="false">
      <c r="B9" s="25" t="s">
        <v>239</v>
      </c>
      <c r="C9" s="50" t="n">
        <f aca="false">C5*Assumptions!$C$27</f>
        <v>2780.61</v>
      </c>
      <c r="D9" s="50" t="n">
        <f aca="false">D5*Assumptions!$D$27</f>
        <v>2203.3024</v>
      </c>
      <c r="E9" s="50" t="n">
        <f aca="false">E5*Assumptions!$E$27</f>
        <v>3021.966948</v>
      </c>
      <c r="F9" s="50" t="n">
        <f aca="false">F5*Assumptions!$F$27</f>
        <v>1909.3522</v>
      </c>
      <c r="G9" s="50" t="n">
        <f aca="false">G5*Assumptions!$G$27</f>
        <v>2540.802249</v>
      </c>
      <c r="H9" s="50" t="n">
        <f aca="false">H5*Assumptions!$H$27</f>
        <v>1628.643</v>
      </c>
      <c r="I9" s="50" t="n">
        <f aca="false">I5*Assumptions!$I$27</f>
        <v>1947.5855875</v>
      </c>
    </row>
    <row r="10" customFormat="false" ht="15" hidden="false" customHeight="false" outlineLevel="0" collapsed="false">
      <c r="B10" s="26" t="s">
        <v>356</v>
      </c>
      <c r="C10" s="56" t="n">
        <f aca="false">Assumptions!$C$27</f>
        <v>0.021</v>
      </c>
      <c r="D10" s="56" t="n">
        <f aca="false">Assumptions!$D$27</f>
        <v>0.016</v>
      </c>
      <c r="E10" s="56" t="n">
        <f aca="false">Assumptions!$E$27</f>
        <v>0.021</v>
      </c>
      <c r="F10" s="56" t="n">
        <f aca="false">Assumptions!$F$27</f>
        <v>0.014</v>
      </c>
      <c r="G10" s="56" t="n">
        <f aca="false">Assumptions!$G$27</f>
        <v>0.018</v>
      </c>
      <c r="H10" s="56" t="n">
        <f aca="false">Assumptions!$H$27</f>
        <v>0.012</v>
      </c>
      <c r="I10" s="56" t="n">
        <f aca="false">Assumptions!$I$27</f>
        <v>0.014</v>
      </c>
    </row>
    <row r="11" customFormat="false" ht="15" hidden="false" customHeight="false" outlineLevel="0" collapsed="false">
      <c r="B11" s="26" t="s">
        <v>357</v>
      </c>
      <c r="C11" s="51" t="n">
        <f aca="false">-Assumptions!$C$28</f>
        <v>-720</v>
      </c>
      <c r="D11" s="51" t="n">
        <f aca="false">-Assumptions!$D$28</f>
        <v>-620</v>
      </c>
      <c r="E11" s="51" t="n">
        <f aca="false">-Assumptions!$E$28</f>
        <v>-520</v>
      </c>
      <c r="F11" s="51" t="n">
        <f aca="false">-Assumptions!$F$28</f>
        <v>-720</v>
      </c>
      <c r="G11" s="51" t="n">
        <f aca="false">-Assumptions!$G$28</f>
        <v>-650</v>
      </c>
      <c r="H11" s="51" t="n">
        <f aca="false">-Assumptions!$H$28</f>
        <v>-850</v>
      </c>
      <c r="I11" s="51" t="n">
        <f aca="false">-Assumptions!$I$28</f>
        <v>-900</v>
      </c>
    </row>
    <row r="12" customFormat="false" ht="15" hidden="false" customHeight="false" outlineLevel="0" collapsed="false">
      <c r="B12" s="25" t="s">
        <v>358</v>
      </c>
      <c r="C12" s="57" t="n">
        <f aca="false">Assumptions!$C$29</f>
        <v>795.8</v>
      </c>
      <c r="D12" s="57" t="n">
        <f aca="false">Assumptions!$D$29</f>
        <v>470</v>
      </c>
      <c r="E12" s="57" t="n">
        <f aca="false">Assumptions!$E$29</f>
        <v>640</v>
      </c>
      <c r="F12" s="57" t="n">
        <f aca="false">Assumptions!$F$29</f>
        <v>420</v>
      </c>
      <c r="G12" s="57" t="n">
        <f aca="false">Assumptions!$G$29</f>
        <v>540</v>
      </c>
      <c r="H12" s="57" t="n">
        <f aca="false">Assumptions!$H$29</f>
        <v>380</v>
      </c>
      <c r="I12" s="57" t="n">
        <f aca="false">Assumptions!$I$29</f>
        <v>430</v>
      </c>
    </row>
    <row r="13" customFormat="false" ht="15" hidden="false" customHeight="false" outlineLevel="0" collapsed="false">
      <c r="B13" s="26" t="s">
        <v>349</v>
      </c>
      <c r="C13" s="53" t="s">
        <v>261</v>
      </c>
      <c r="D13" s="49" t="n">
        <f aca="false">D12/C12-1</f>
        <v>-0.40939934656949</v>
      </c>
      <c r="E13" s="49" t="n">
        <f aca="false">E12/D12-1</f>
        <v>0.361702127659574</v>
      </c>
      <c r="F13" s="49" t="n">
        <f aca="false">F12/C12-1</f>
        <v>-0.472229203317416</v>
      </c>
      <c r="G13" s="49" t="n">
        <f aca="false">G12/F12-1</f>
        <v>0.285714285714286</v>
      </c>
      <c r="H13" s="49" t="n">
        <f aca="false">H12/C12-1</f>
        <v>-0.522493088715758</v>
      </c>
      <c r="I13" s="49" t="n">
        <f aca="false">I12/H12-1</f>
        <v>0.131578947368421</v>
      </c>
    </row>
    <row r="14" customFormat="false" ht="15" hidden="false" customHeight="false" outlineLevel="0" collapsed="false">
      <c r="B14" s="26" t="s">
        <v>359</v>
      </c>
      <c r="C14" s="58" t="n">
        <f aca="false">C12*Assumptions!$C$33/100</f>
        <v>1535.894</v>
      </c>
      <c r="D14" s="58" t="n">
        <f aca="false">D12*Assumptions!$D$33/100</f>
        <v>907.1</v>
      </c>
      <c r="E14" s="58" t="n">
        <f aca="false">E12*Assumptions!$E$33/100</f>
        <v>1235.2</v>
      </c>
      <c r="F14" s="58" t="n">
        <f aca="false">F12*Assumptions!$F$33/100</f>
        <v>810.6</v>
      </c>
      <c r="G14" s="58" t="n">
        <f aca="false">G12*Assumptions!$G$33/100</f>
        <v>1042.2</v>
      </c>
      <c r="H14" s="58" t="n">
        <f aca="false">H12*Assumptions!$H$33/100</f>
        <v>733.4</v>
      </c>
      <c r="I14" s="58" t="n">
        <f aca="false">I12*Assumptions!$I$33/100</f>
        <v>829.9</v>
      </c>
    </row>
    <row r="15" customFormat="false" ht="15" hidden="false" customHeight="false" outlineLevel="0" collapsed="false">
      <c r="B15" s="26" t="s">
        <v>266</v>
      </c>
      <c r="C15" s="51" t="n">
        <f aca="false">Assumptions!$C$30</f>
        <v>5400</v>
      </c>
      <c r="D15" s="51" t="n">
        <f aca="false">Assumptions!$D$30</f>
        <v>4700</v>
      </c>
      <c r="E15" s="51" t="n">
        <f aca="false">Assumptions!$E$30</f>
        <v>3700</v>
      </c>
      <c r="F15" s="51" t="n">
        <f aca="false">Assumptions!$F$30</f>
        <v>5000</v>
      </c>
      <c r="G15" s="51" t="n">
        <f aca="false">Assumptions!$G$30</f>
        <v>4400</v>
      </c>
      <c r="H15" s="51" t="n">
        <f aca="false">Assumptions!$H$30</f>
        <v>5700</v>
      </c>
      <c r="I15" s="51" t="n">
        <f aca="false">Assumptions!$I$30</f>
        <v>5500</v>
      </c>
    </row>
    <row r="16" customFormat="false" ht="15" hidden="false" customHeight="false" outlineLevel="0" collapsed="false">
      <c r="B16" s="25" t="s">
        <v>360</v>
      </c>
      <c r="C16" s="59" t="n">
        <f aca="false">Assumptions!$C$31</f>
        <v>1.74</v>
      </c>
      <c r="D16" s="59" t="n">
        <f aca="false">Assumptions!$D$31</f>
        <v>1.5</v>
      </c>
      <c r="E16" s="59" t="n">
        <f aca="false">Assumptions!$E$31</f>
        <v>1.1</v>
      </c>
      <c r="F16" s="59" t="n">
        <f aca="false">Assumptions!$F$31</f>
        <v>1.6</v>
      </c>
      <c r="G16" s="59" t="n">
        <f aca="false">Assumptions!$G$31</f>
        <v>1.4</v>
      </c>
      <c r="H16" s="59" t="n">
        <f aca="false">Assumptions!$H$31</f>
        <v>1.9</v>
      </c>
      <c r="I16" s="59" t="n">
        <f aca="false">Assumptions!$I$31</f>
        <v>1.8</v>
      </c>
    </row>
    <row r="17" customFormat="false" ht="15" hidden="false" customHeight="false" outlineLevel="0" collapsed="false">
      <c r="B17" s="26" t="s">
        <v>327</v>
      </c>
      <c r="C17" s="60" t="n">
        <f aca="false">Assumptions!$C$32</f>
        <v>0</v>
      </c>
      <c r="D17" s="60" t="n">
        <f aca="false">Assumptions!$D$32</f>
        <v>0</v>
      </c>
      <c r="E17" s="60" t="n">
        <f aca="false">Assumptions!$E$32</f>
        <v>120</v>
      </c>
      <c r="F17" s="60" t="n">
        <f aca="false">Assumptions!$F$32</f>
        <v>0</v>
      </c>
      <c r="G17" s="60" t="n">
        <f aca="false">Assumptions!$G$32</f>
        <v>60</v>
      </c>
      <c r="H17" s="60" t="n">
        <f aca="false">Assumptions!$H$32</f>
        <v>0</v>
      </c>
      <c r="I17" s="60" t="n">
        <f aca="false">Assumptions!$I$32</f>
        <v>0</v>
      </c>
    </row>
    <row r="19" customFormat="false" ht="57.75" hidden="false" customHeight="true" outlineLevel="0" collapsed="false">
      <c r="B19" s="28" t="s">
        <v>361</v>
      </c>
      <c r="C19" s="28"/>
      <c r="D19" s="28"/>
      <c r="E19" s="28"/>
      <c r="F19" s="28"/>
      <c r="G19" s="28"/>
      <c r="H19" s="28"/>
      <c r="I19" s="28"/>
    </row>
  </sheetData>
  <mergeCells count="3">
    <mergeCell ref="A1:I1"/>
    <mergeCell ref="A2:I2"/>
    <mergeCell ref="B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2026-06-17T20:15:11Z</dcterms:created>
  <dc:creator>openpyxl</dc:creator>
  <dc:description/>
  <dc:language>en-US</dc:language>
  <cp:lastModifiedBy/>
  <dcterms:modified xsi:type="dcterms:W3CDTF">2026-06-17T20:19:21Z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