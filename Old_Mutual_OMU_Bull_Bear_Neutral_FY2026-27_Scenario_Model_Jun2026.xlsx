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Y2025 Actuals" sheetId="2" state="visible" r:id="rId4"/>
    <sheet name="Scenario Drivers" sheetId="3" state="visible" r:id="rId5"/>
    <sheet name="FY2026e Model" sheetId="4" state="visible" r:id="rId6"/>
    <sheet name="FY2027e Model" sheetId="5" state="visible" r:id="rId7"/>
    <sheet name="Sentiment Scorec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<sst xmlns="http://schemas.openxmlformats.org/spreadsheetml/2006/main" count="254" uniqueCount="206">
  <si>
    <t xml:space="preserve">OLD MUTUAL LIMITED (JSE: OMU) — Bull / Bear / Neutral scenario model</t>
  </si>
  <si>
    <t xml:space="preserve">Deliverable</t>
  </si>
  <si>
    <t xml:space="preserve">FY2026e &amp; FY2027e projected performance under Bull, Neutral (base) and Bear market conditions</t>
  </si>
  <si>
    <t xml:space="preserve">Anchor period</t>
  </si>
  <si>
    <t xml:space="preserve">FY2025 audited actuals (year ended 31 December 2025); results released 17 March 2026</t>
  </si>
  <si>
    <t xml:space="preserve">Base currency</t>
  </si>
  <si>
    <t xml:space="preserve">ZAR (R million unless stated; per-share in cents)</t>
  </si>
  <si>
    <t xml:space="preserve">Prepared</t>
  </si>
  <si>
    <t xml:space="preserve">18 June 2026 — internal research</t>
  </si>
  <si>
    <t xml:space="preserve">Sheet guide</t>
  </si>
  <si>
    <t xml:space="preserve">  2. FY2025 Actuals</t>
  </si>
  <si>
    <t xml:space="preserve">Sacred reported base — figures verbatim from the FY2025 results booklet</t>
  </si>
  <si>
    <t xml:space="preserve">  3. Scenario Drivers</t>
  </si>
  <si>
    <t xml:space="preserve">Market-condition assumptions per scenario (analyst estimates, blue = input lever)</t>
  </si>
  <si>
    <t xml:space="preserve">  4. FY2026e Model</t>
  </si>
  <si>
    <t xml:space="preserve">Projected P&amp;L / KPIs, live formulas off Actuals × Drivers</t>
  </si>
  <si>
    <t xml:space="preserve">  5. FY2027e Model</t>
  </si>
  <si>
    <t xml:space="preserve">Projected P&amp;L / KPIs, built off FY2026e</t>
  </si>
  <si>
    <t xml:space="preserve">  6. Sentiment Scorecard</t>
  </si>
  <si>
    <t xml:space="preserve">Management language → tone → earnings / market-share read</t>
  </si>
  <si>
    <t xml:space="preserve">Colour key</t>
  </si>
  <si>
    <t xml:space="preserve">Black = reported actual (sacred) · Blue = analyst input/estimate (e) · Green = cross-sheet link</t>
  </si>
  <si>
    <t xml:space="preserve">For informational purposes only — not investment advice; prepared by internal research from public disclosures (Old Mutual FY2025 Group Annual Results booklet) plus dated macro context. Reported actuals are audited (Deloitte &amp; Touche / EY, unmodified). All FY2026e/FY2027e figures and scenario levels are analyst estimates (e), NOT company guidance. Numbers are sacred: actuals taken verbatim from the cited source.</t>
  </si>
  <si>
    <t xml:space="preserve">FY2025 reported actuals — the sacred base</t>
  </si>
  <si>
    <t xml:space="preserve">Metric</t>
  </si>
  <si>
    <t xml:space="preserve">FY2025</t>
  </si>
  <si>
    <t xml:space="preserve">FY2024</t>
  </si>
  <si>
    <t xml:space="preserve">Change</t>
  </si>
  <si>
    <t xml:space="preserve">Note</t>
  </si>
  <si>
    <t xml:space="preserve">Results from operations (Rm)</t>
  </si>
  <si>
    <t xml:space="preserve">+13%</t>
  </si>
  <si>
    <t xml:space="preserve">Operating profit before investment return</t>
  </si>
  <si>
    <t xml:space="preserve">Adjusted headline earnings (Rm)</t>
  </si>
  <si>
    <t xml:space="preserve">+24%</t>
  </si>
  <si>
    <t xml:space="preserve">Boosted ~R1.9bn by elevated investment returns + Malawi</t>
  </si>
  <si>
    <t xml:space="preserve">Adjusted HEPS (cents)</t>
  </si>
  <si>
    <t xml:space="preserve">+26%</t>
  </si>
  <si>
    <t xml:space="preserve">Headline earnings (Rm)</t>
  </si>
  <si>
    <t xml:space="preserve">-2%</t>
  </si>
  <si>
    <t xml:space="preserve">Approx; impacted by Zimbabwe USD transition</t>
  </si>
  <si>
    <t xml:space="preserve">HEPS (cents)</t>
  </si>
  <si>
    <t xml:space="preserve">-1%</t>
  </si>
  <si>
    <t xml:space="preserve">IFRS profit (Rm)</t>
  </si>
  <si>
    <t xml:space="preserve">+10%</t>
  </si>
  <si>
    <t xml:space="preserve">Approx; prior yr had China/Nigeria losses</t>
  </si>
  <si>
    <t xml:space="preserve">RoNAV reported (%)</t>
  </si>
  <si>
    <t xml:space="preserve">+250 bps</t>
  </si>
  <si>
    <t xml:space="preserve">Within 15-17% target — flattered by markets</t>
  </si>
  <si>
    <t xml:space="preserve">RoNAV normalised (%)</t>
  </si>
  <si>
    <t xml:space="preserve">—</t>
  </si>
  <si>
    <t xml:space="preserve">n/a</t>
  </si>
  <si>
    <t xml:space="preserve">Adjusted for higher-than-expected investment returns</t>
  </si>
  <si>
    <t xml:space="preserve">RoNAV excl OM Bank (%)</t>
  </si>
  <si>
    <t xml:space="preserve">Old target basis</t>
  </si>
  <si>
    <t xml:space="preserve">Return on GEV (%)</t>
  </si>
  <si>
    <t xml:space="preserve">Value of new business (Rm)</t>
  </si>
  <si>
    <t xml:space="preserve">-52%</t>
  </si>
  <si>
    <t xml:space="preserve">Persistency basis strengthening + lower annuity sales</t>
  </si>
  <si>
    <t xml:space="preserve">VNB margin (%)</t>
  </si>
  <si>
    <t xml:space="preserve">-130 bps</t>
  </si>
  <si>
    <t xml:space="preserve">Below 2-3% target</t>
  </si>
  <si>
    <t xml:space="preserve">Group equity value / share (c)</t>
  </si>
  <si>
    <t xml:space="preserve">+2%</t>
  </si>
  <si>
    <t xml:space="preserve">R19.80</t>
  </si>
  <si>
    <t xml:space="preserve">Total dividend / share (c)</t>
  </si>
  <si>
    <t xml:space="preserve">+8%</t>
  </si>
  <si>
    <t xml:space="preserve">Within 6-9% target; cover 1.5-2.0x</t>
  </si>
  <si>
    <t xml:space="preserve">Shareholder solvency ratio (%)</t>
  </si>
  <si>
    <t xml:space="preserve">-2000 bps</t>
  </si>
  <si>
    <t xml:space="preserve">Within 155-185% target</t>
  </si>
  <si>
    <t xml:space="preserve">Gearing ratio (%)</t>
  </si>
  <si>
    <t xml:space="preserve">-270 bps</t>
  </si>
  <si>
    <t xml:space="preserve">Below 15-20% target — debt capacity</t>
  </si>
  <si>
    <t xml:space="preserve">Net client cash flow (Rm)</t>
  </si>
  <si>
    <t xml:space="preserve">+55%</t>
  </si>
  <si>
    <t xml:space="preserve">Outflow narrowed materially</t>
  </si>
  <si>
    <t xml:space="preserve">Funds under management (Rbn)</t>
  </si>
  <si>
    <t xml:space="preserve">Life APE sales growth (%)</t>
  </si>
  <si>
    <t xml:space="preserve">+3%</t>
  </si>
  <si>
    <t xml:space="preserve">Gross written premiums growth (%)</t>
  </si>
  <si>
    <t xml:space="preserve">+5%</t>
  </si>
  <si>
    <t xml:space="preserve">OM Insure +7%</t>
  </si>
  <si>
    <t xml:space="preserve">OM Insure net underwriting margin (%)</t>
  </si>
  <si>
    <t xml:space="preserve">+60 bps</t>
  </si>
  <si>
    <t xml:space="preserve">Within 5-8% target; 8.3% ex once-off</t>
  </si>
  <si>
    <t xml:space="preserve">Cluster RFO (Rm): L&amp;S 7 268 (+13%) · OM Insure 2 062 (+14%) · OM Africa Regions 1 675 (+64%, Malawi) · OM Investments 1 544 (-8%) · OM Bank (1 249) loss · Group activities (1 479).</t>
  </si>
  <si>
    <t xml:space="preserve">Source: Old Mutual Group Annual Results for the year ended 31 December 2025 (booklet, released 17 Mar 2026).</t>
  </si>
  <si>
    <t xml:space="preserve">Scenario drivers — market conditions FY2026e / FY2027e (analyst estimates, (e))</t>
  </si>
  <si>
    <t xml:space="preserve">Driver</t>
  </si>
  <si>
    <t xml:space="preserve">Bull</t>
  </si>
  <si>
    <t xml:space="preserve">Neutral</t>
  </si>
  <si>
    <t xml:space="preserve">Bear</t>
  </si>
  <si>
    <t xml:space="preserve">Rationale</t>
  </si>
  <si>
    <t xml:space="preserve">JSE equity market — total return p.a.</t>
  </si>
  <si>
    <t xml:space="preserve">Drives investment return, AUM fees, GEV, RoNAV</t>
  </si>
  <si>
    <t xml:space="preserve">USD/ZAR (period-avg)</t>
  </si>
  <si>
    <t xml:space="preserve">Rand strength helps translation; weakness hurts</t>
  </si>
  <si>
    <t xml:space="preserve">SARB repo rate (period-end, %)</t>
  </si>
  <si>
    <t xml:space="preserve">Higher-for-longer pressures bond values/annuities</t>
  </si>
  <si>
    <t xml:space="preserve">Malawi kwacha devaluation</t>
  </si>
  <si>
    <t xml:space="preserve">FY25 flattered by Malawi; mgmt flags 30-50% deval risk</t>
  </si>
  <si>
    <t xml:space="preserve">VNB margin achieved (%)</t>
  </si>
  <si>
    <t xml:space="preserve">Recovery toward 2-3% target vs 1.2% FY25</t>
  </si>
  <si>
    <t xml:space="preserve">Cost savings delivered (Rbn cum.)</t>
  </si>
  <si>
    <t xml:space="preserve">R1bn by FY26 / R2.5bn by FY27 programme</t>
  </si>
  <si>
    <t xml:space="preserve">Earnings growth levers applied in the model (analyst (e), blue = input)</t>
  </si>
  <si>
    <t xml:space="preserve">Growth lever (YoY)</t>
  </si>
  <si>
    <t xml:space="preserve">Applies to</t>
  </si>
  <si>
    <t xml:space="preserve">RFO growth — FY2026e</t>
  </si>
  <si>
    <t xml:space="preserve">Results from operations</t>
  </si>
  <si>
    <t xml:space="preserve">RFO growth — FY2027e</t>
  </si>
  <si>
    <t xml:space="preserve">AHE growth — FY2026e</t>
  </si>
  <si>
    <t xml:space="preserve">Adj. headline earnings (market-geared)</t>
  </si>
  <si>
    <t xml:space="preserve">AHE growth — FY2027e</t>
  </si>
  <si>
    <t xml:space="preserve">Adj. headline earnings</t>
  </si>
  <si>
    <t xml:space="preserve">Shares o/s — FY2026e (m)</t>
  </si>
  <si>
    <t xml:space="preserve">Buyback pace (R3bn prog., R0.7bn done)</t>
  </si>
  <si>
    <t xml:space="preserve">Shares o/s — FY2027e (m)</t>
  </si>
  <si>
    <t xml:space="preserve">Buyback pace</t>
  </si>
  <si>
    <t xml:space="preserve">DPS growth — FY2026e</t>
  </si>
  <si>
    <t xml:space="preserve">Dividend per share</t>
  </si>
  <si>
    <t xml:space="preserve">DPS growth — FY2027e</t>
  </si>
  <si>
    <t xml:space="preserve">RoNAV — FY2026e (%)</t>
  </si>
  <si>
    <t xml:space="preserve">Return on net asset value</t>
  </si>
  <si>
    <t xml:space="preserve">RoNAV — FY2027e (%)</t>
  </si>
  <si>
    <t xml:space="preserve">Macro levels via web search (Jun 2026): SARB repo 7.00% (hiked 25bp 28 May 2026); USD/ZAR ~16.3-17; SA outlook 'more constructive' per 2026 Budget (mgmt). Levels are analyst scenario assumptions, not guidance.</t>
  </si>
  <si>
    <t xml:space="preserve">Projected performance — FY2026 (e)</t>
  </si>
  <si>
    <t xml:space="preserve">Metric (FY2026e)</t>
  </si>
  <si>
    <t xml:space="preserve">Basis</t>
  </si>
  <si>
    <t xml:space="preserve">FY25 RFO × (1+growth lever)</t>
  </si>
  <si>
    <t xml:space="preserve">  RFO growth (%)</t>
  </si>
  <si>
    <t xml:space="preserve">driver</t>
  </si>
  <si>
    <t xml:space="preserve">FY25 AHE × (1+growth lever)</t>
  </si>
  <si>
    <t xml:space="preserve">  AHE growth (%)</t>
  </si>
  <si>
    <t xml:space="preserve">driver — market-geared</t>
  </si>
  <si>
    <t xml:space="preserve">Shares outstanding (m)</t>
  </si>
  <si>
    <t xml:space="preserve">buyback pace</t>
  </si>
  <si>
    <t xml:space="preserve">AHE / shares × 100</t>
  </si>
  <si>
    <t xml:space="preserve">  AHEPS growth vs FY25 (%)</t>
  </si>
  <si>
    <t xml:space="preserve">vs 189.8c</t>
  </si>
  <si>
    <t xml:space="preserve">Total dividend / share (cents)</t>
  </si>
  <si>
    <t xml:space="preserve">FY25 DPS × (1+growth)</t>
  </si>
  <si>
    <t xml:space="preserve">RoNAV (%)</t>
  </si>
  <si>
    <t xml:space="preserve">vs 15.2% reported / 12.4% norm.</t>
  </si>
  <si>
    <t xml:space="preserve">recovery toward 2-3% target</t>
  </si>
  <si>
    <t xml:space="preserve">Read</t>
  </si>
  <si>
    <t xml:space="preserve">Markets lift investment return &amp; fees; AHE re-accelerates, RoNAV in target band — upgrade trajectory.</t>
  </si>
  <si>
    <t xml:space="preserve">Operating momentum (cost savings, Insure, Africa) offset by normalising FY25 investment-return tailwind — earnings broadly flat to modestly up.</t>
  </si>
  <si>
    <t xml:space="preserve">Equity selloff + Malawi devaluation reverse the FY25 tailwind; AHE falls though buyback cushions AHEPS — downgrade risk, RoNAV below target.</t>
  </si>
  <si>
    <t xml:space="preserve">Projected performance — FY2027 (e)</t>
  </si>
  <si>
    <t xml:space="preserve">Metric (FY2027e)</t>
  </si>
  <si>
    <t xml:space="preserve">FY26e RFO × (1+growth)</t>
  </si>
  <si>
    <t xml:space="preserve">FY26e AHE × (1+growth)</t>
  </si>
  <si>
    <t xml:space="preserve">2-yr vs 189.8c</t>
  </si>
  <si>
    <t xml:space="preserve">FY26e DPS × (1+growth)</t>
  </si>
  <si>
    <t xml:space="preserve">approaching 15-17% target</t>
  </si>
  <si>
    <t xml:space="preserve">further recovery (e)</t>
  </si>
  <si>
    <t xml:space="preserve">Compounding: AHE back above R10bn, RoNAV ~16.8% (mid-target), VNB margin into 2-3% band — clear upgrade case.</t>
  </si>
  <si>
    <t xml:space="preserve">Steady delivery: cost programme fully banked, OM Bank loss narrowing toward FY28 break-even, RoNAV ~14.5% (just below target).</t>
  </si>
  <si>
    <t xml:space="preserve">Partial recovery off a low base; RoNAV still ~11.5%, below target — value/turnaround story intact but earnings subdued.</t>
  </si>
  <si>
    <t xml:space="preserve">Sentiment scorecard — management language → tone → earnings / market-share read</t>
  </si>
  <si>
    <t xml:space="preserve">Theme</t>
  </si>
  <si>
    <t xml:space="preserve">Management language (verbatim cues)</t>
  </si>
  <si>
    <t xml:space="preserve">Tone</t>
  </si>
  <si>
    <t xml:space="preserve">Earnings / share read</t>
  </si>
  <si>
    <t xml:space="preserve">Overall framing</t>
  </si>
  <si>
    <t xml:space="preserve">“Steady operational results in the year of strategic reset and focused execution”; “the focus has now firmly shifted to execution”</t>
  </si>
  <si>
    <t xml:space="preserve">Positive</t>
  </si>
  <si>
    <t xml:space="preserve">Reset complete; execution-led earnings growth ahead</t>
  </si>
  <si>
    <t xml:space="preserve">SA macro outlook</t>
  </si>
  <si>
    <t xml:space="preserve">“the South African outlook has become more constructive”; 2026 Budget “reaffirmed a commitment to fiscal discipline”; “more supportive foundation for confidence and investment”</t>
  </si>
  <si>
    <t xml:space="preserve">Supports flows, equity levels, VNB recovery</t>
  </si>
  <si>
    <t xml:space="preserve">Global / risk caveat</t>
  </si>
  <si>
    <t xml:space="preserve">“the global environment is likely to remain uncertain, shaped by uneven growth and ongoing heightened geopolitical risks”</t>
  </si>
  <si>
    <t xml:space="preserve">Negative</t>
  </si>
  <si>
    <t xml:space="preserve">Caps the bull case; investment-return volatility</t>
  </si>
  <si>
    <t xml:space="preserve">Earnings quality</t>
  </si>
  <si>
    <t xml:space="preserve">AHE “further benefitting from elevated shareholder investment returns”; normalised RoNAV 12.4% vs 15.2% reported</t>
  </si>
  <si>
    <t xml:space="preserve">FY25 flattered ~R1.9bn; high normalisation risk in Bear</t>
  </si>
  <si>
    <t xml:space="preserve">Malawi</t>
  </si>
  <si>
    <t xml:space="preserve">“significantly impacted by elevated returns…in Malawi”; deval of 30-50% would cut AHE growth to 11-16%</t>
  </si>
  <si>
    <t xml:space="preserve">Explicit downside lever to FY26 earnings</t>
  </si>
  <si>
    <t xml:space="preserve">Value of new business</t>
  </si>
  <si>
    <t xml:space="preserve">VNB “declined by 52%…strengthened persistency assumptions”; margin 1.2% “below our target range”</t>
  </si>
  <si>
    <t xml:space="preserve">Key weak spot; recovery is the swing factor</t>
  </si>
  <si>
    <t xml:space="preserve">VNB recovery intent</t>
  </si>
  <si>
    <t xml:space="preserve">“We remain committed to restoring our value of new business margin by focusing on…business mix, retention and collections”; “Management actions are on track”</t>
  </si>
  <si>
    <t xml:space="preserve">Credible path back to 2-3% target by FY27</t>
  </si>
  <si>
    <t xml:space="preserve">Cost programme</t>
  </si>
  <si>
    <t xml:space="preserve">“R2.5 billion commitment…cascaded to cluster scorecards”; “R450 million…already delivered in 2025”; ex-restructuring costs -15%</t>
  </si>
  <si>
    <t xml:space="preserve">Structural margin/earnings support across scenarios</t>
  </si>
  <si>
    <t xml:space="preserve">OM Insure</t>
  </si>
  <si>
    <t xml:space="preserve">“Continued momentum with margin growth”; net underwriting margin 6.8% (8.3% ex once-off), within 5-8% target</t>
  </si>
  <si>
    <t xml:space="preserve">Reliable RFO growth engine (+14% FY25)</t>
  </si>
  <si>
    <t xml:space="preserve">OM Bank</t>
  </si>
  <si>
    <t xml:space="preserve">Customer/deposit trends “tracking well, ahead of public marketing campaigns”; profitability targeted FY2028</t>
  </si>
  <si>
    <t xml:space="preserve">Mixed</t>
  </si>
  <si>
    <t xml:space="preserve">Loss-making now (-R1.25bn); drag narrows, not gone</t>
  </si>
  <si>
    <t xml:space="preserve">Capital / buyback</t>
  </si>
  <si>
    <t xml:space="preserve">“R3 billion share buyback…continuing while it remains value accretive”; discretionary capital “almost doubled to R6.1 billion”; gearing below target</t>
  </si>
  <si>
    <t xml:space="preserve">Buyback supports AHEPS/DPS even in Bear</t>
  </si>
  <si>
    <t xml:space="preserve">Dividend</t>
  </si>
  <si>
    <t xml:space="preserve">Total DPS +8%, “within the medium-term target range”; cover 1.5-2.0x; 3-yr rolling growth 6-9%</t>
  </si>
  <si>
    <t xml:space="preserve">Resilient dividend; smoothed across the cycle</t>
  </si>
  <si>
    <t xml:space="preserve">Net sentiment</t>
  </si>
  <si>
    <t xml:space="preserve">7 Positive · 4 Negative · 1 Mixed → NET POSITIVE, but earnings quality and VNB are the genuine negatives that the Bear case crystallises.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</si>
</sst>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0.0%"/>
    <numFmt numFmtId="168" formatCode="0%"/>
    <numFmt numFmtId="169" formatCode="0.0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9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.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FF7E0"/>
      </patternFill>
    </fill>
    <fill>
      <patternFill patternType="solid">
        <fgColor rgb="FF375623"/>
        <bgColor rgb="FF333300"/>
      </patternFill>
    </fill>
    <fill>
      <patternFill patternType="solid">
        <fgColor rgb="FF808080"/>
        <bgColor rgb="FF969696"/>
      </patternFill>
    </fill>
    <fill>
      <patternFill patternType="solid">
        <fgColor rgb="FFC00000"/>
        <bgColor rgb="FF800000"/>
      </patternFill>
    </fill>
    <fill>
      <patternFill patternType="solid">
        <fgColor rgb="FFFFF7E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E0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6" min="3" style="1" width="22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false" outlineLevel="0" collapsed="false">
      <c r="B3" s="3"/>
      <c r="C3" s="4"/>
      <c r="D3" s="4"/>
      <c r="E3" s="4"/>
      <c r="F3" s="4"/>
    </row>
    <row r="4" customFormat="false" ht="15" hidden="false" customHeight="true" outlineLevel="0" collapsed="false">
      <c r="B4" s="5" t="s">
        <v>1</v>
      </c>
      <c r="C4" s="4" t="s">
        <v>2</v>
      </c>
      <c r="D4" s="4"/>
      <c r="E4" s="4"/>
      <c r="F4" s="4"/>
    </row>
    <row r="5" customFormat="false" ht="15" hidden="false" customHeight="true" outlineLevel="0" collapsed="false">
      <c r="B5" s="5" t="s">
        <v>3</v>
      </c>
      <c r="C5" s="4" t="s">
        <v>4</v>
      </c>
      <c r="D5" s="4"/>
      <c r="E5" s="4"/>
      <c r="F5" s="4"/>
    </row>
    <row r="6" customFormat="false" ht="15" hidden="false" customHeight="true" outlineLevel="0" collapsed="false">
      <c r="B6" s="5" t="s">
        <v>5</v>
      </c>
      <c r="C6" s="4" t="s">
        <v>6</v>
      </c>
      <c r="D6" s="4"/>
      <c r="E6" s="4"/>
      <c r="F6" s="4"/>
    </row>
    <row r="7" customFormat="false" ht="15" hidden="false" customHeight="true" outlineLevel="0" collapsed="false">
      <c r="B7" s="5" t="s">
        <v>7</v>
      </c>
      <c r="C7" s="4" t="s">
        <v>8</v>
      </c>
      <c r="D7" s="4"/>
      <c r="E7" s="4"/>
      <c r="F7" s="4"/>
    </row>
    <row r="8" customFormat="false" ht="15" hidden="false" customHeight="false" outlineLevel="0" collapsed="false">
      <c r="B8" s="3"/>
      <c r="C8" s="4"/>
      <c r="D8" s="4"/>
      <c r="E8" s="4"/>
      <c r="F8" s="4"/>
    </row>
    <row r="9" customFormat="false" ht="15" hidden="false" customHeight="false" outlineLevel="0" collapsed="false">
      <c r="B9" s="5" t="s">
        <v>9</v>
      </c>
      <c r="C9" s="4"/>
      <c r="D9" s="4"/>
      <c r="E9" s="4"/>
      <c r="F9" s="4"/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  <c r="F10" s="4"/>
    </row>
    <row r="11" customFormat="false" ht="15" hidden="false" customHeight="true" outlineLevel="0" collapsed="false">
      <c r="B11" s="6" t="s">
        <v>12</v>
      </c>
      <c r="C11" s="4" t="s">
        <v>13</v>
      </c>
      <c r="D11" s="4"/>
      <c r="E11" s="4"/>
      <c r="F11" s="4"/>
    </row>
    <row r="12" customFormat="false" ht="15" hidden="false" customHeight="true" outlineLevel="0" collapsed="false">
      <c r="B12" s="6" t="s">
        <v>14</v>
      </c>
      <c r="C12" s="4" t="s">
        <v>15</v>
      </c>
      <c r="D12" s="4"/>
      <c r="E12" s="4"/>
      <c r="F12" s="4"/>
    </row>
    <row r="13" customFormat="false" ht="15" hidden="false" customHeight="true" outlineLevel="0" collapsed="false">
      <c r="B13" s="6" t="s">
        <v>16</v>
      </c>
      <c r="C13" s="4" t="s">
        <v>17</v>
      </c>
      <c r="D13" s="4"/>
      <c r="E13" s="4"/>
      <c r="F13" s="4"/>
    </row>
    <row r="14" customFormat="false" ht="15" hidden="false" customHeight="true" outlineLevel="0" collapsed="false">
      <c r="B14" s="6" t="s">
        <v>18</v>
      </c>
      <c r="C14" s="4" t="s">
        <v>19</v>
      </c>
      <c r="D14" s="4"/>
      <c r="E14" s="4"/>
      <c r="F14" s="4"/>
    </row>
    <row r="15" customFormat="false" ht="15" hidden="false" customHeight="false" outlineLevel="0" collapsed="false">
      <c r="B15" s="3"/>
      <c r="C15" s="4"/>
      <c r="D15" s="4"/>
      <c r="E15" s="4"/>
      <c r="F15" s="4"/>
    </row>
    <row r="16" customFormat="false" ht="15" hidden="false" customHeight="true" outlineLevel="0" collapsed="false">
      <c r="B16" s="5" t="s">
        <v>20</v>
      </c>
      <c r="C16" s="4" t="s">
        <v>21</v>
      </c>
      <c r="D16" s="4"/>
      <c r="E16" s="4"/>
      <c r="F16" s="4"/>
    </row>
    <row r="18" customFormat="false" ht="15" hidden="false" customHeight="true" outlineLevel="0" collapsed="false">
      <c r="B18" s="7" t="s">
        <v>22</v>
      </c>
      <c r="C18" s="7"/>
      <c r="D18" s="7"/>
      <c r="E18" s="7"/>
      <c r="F18" s="7"/>
    </row>
    <row r="19" customFormat="false" ht="15" hidden="false" customHeight="false" outlineLevel="0" collapsed="false">
      <c r="B19" s="7"/>
      <c r="C19" s="7"/>
      <c r="D19" s="7"/>
      <c r="E19" s="7"/>
      <c r="F19" s="7"/>
    </row>
    <row r="20" customFormat="false" ht="15" hidden="false" customHeight="false" outlineLevel="0" collapsed="false">
      <c r="B20" s="7"/>
      <c r="C20" s="7"/>
      <c r="D20" s="7"/>
      <c r="E20" s="7"/>
      <c r="F20" s="7"/>
    </row>
    <row r="21" customFormat="false" ht="15" hidden="false" customHeight="false" outlineLevel="0" collapsed="false">
      <c r="B21" s="7"/>
      <c r="C21" s="7"/>
      <c r="D21" s="7"/>
      <c r="E21" s="7"/>
      <c r="F21" s="7"/>
    </row>
  </sheetData>
  <mergeCells count="16">
    <mergeCell ref="A1:F1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B18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30"/>
  </cols>
  <sheetData>
    <row r="1" customFormat="false" ht="24" hidden="false" customHeight="true" outlineLevel="0" collapsed="false">
      <c r="A1" s="2" t="s">
        <v>23</v>
      </c>
      <c r="B1" s="2"/>
      <c r="C1" s="2"/>
      <c r="D1" s="2"/>
      <c r="E1" s="2"/>
    </row>
    <row r="2" customFormat="false" ht="15" hidden="false" customHeight="false" outlineLevel="0" collapsed="false">
      <c r="A2" s="8" t="s">
        <v>24</v>
      </c>
      <c r="B2" s="9" t="s">
        <v>25</v>
      </c>
      <c r="C2" s="9" t="s">
        <v>26</v>
      </c>
      <c r="D2" s="9" t="s">
        <v>27</v>
      </c>
      <c r="E2" s="9" t="s">
        <v>28</v>
      </c>
    </row>
    <row r="3" customFormat="false" ht="15" hidden="false" customHeight="false" outlineLevel="0" collapsed="false">
      <c r="A3" s="10" t="s">
        <v>29</v>
      </c>
      <c r="B3" s="11" t="n">
        <v>9821</v>
      </c>
      <c r="C3" s="11" t="n">
        <v>8709</v>
      </c>
      <c r="D3" s="12" t="s">
        <v>30</v>
      </c>
      <c r="E3" s="13" t="s">
        <v>31</v>
      </c>
    </row>
    <row r="4" customFormat="false" ht="15" hidden="false" customHeight="false" outlineLevel="0" collapsed="false">
      <c r="A4" s="14" t="s">
        <v>32</v>
      </c>
      <c r="B4" s="15" t="n">
        <v>8263</v>
      </c>
      <c r="C4" s="15" t="n">
        <v>6685</v>
      </c>
      <c r="D4" s="16" t="s">
        <v>33</v>
      </c>
      <c r="E4" s="17" t="s">
        <v>34</v>
      </c>
    </row>
    <row r="5" customFormat="false" ht="15" hidden="false" customHeight="false" outlineLevel="0" collapsed="false">
      <c r="A5" s="10" t="s">
        <v>35</v>
      </c>
      <c r="B5" s="18" t="n">
        <v>189.8</v>
      </c>
      <c r="C5" s="18" t="n">
        <v>150.6</v>
      </c>
      <c r="D5" s="12" t="s">
        <v>36</v>
      </c>
      <c r="E5" s="13"/>
    </row>
    <row r="6" customFormat="false" ht="15" hidden="false" customHeight="false" outlineLevel="0" collapsed="false">
      <c r="A6" s="14" t="s">
        <v>37</v>
      </c>
      <c r="B6" s="15" t="n">
        <v>8600</v>
      </c>
      <c r="C6" s="15" t="n">
        <v>8800</v>
      </c>
      <c r="D6" s="16" t="s">
        <v>38</v>
      </c>
      <c r="E6" s="17" t="s">
        <v>39</v>
      </c>
    </row>
    <row r="7" customFormat="false" ht="15" hidden="false" customHeight="false" outlineLevel="0" collapsed="false">
      <c r="A7" s="10" t="s">
        <v>40</v>
      </c>
      <c r="B7" s="18" t="n">
        <v>201.6</v>
      </c>
      <c r="C7" s="18" t="n">
        <v>202.7</v>
      </c>
      <c r="D7" s="12" t="s">
        <v>41</v>
      </c>
      <c r="E7" s="13"/>
    </row>
    <row r="8" customFormat="false" ht="15" hidden="false" customHeight="false" outlineLevel="0" collapsed="false">
      <c r="A8" s="14" t="s">
        <v>42</v>
      </c>
      <c r="B8" s="15" t="n">
        <v>8400</v>
      </c>
      <c r="C8" s="15" t="n">
        <v>7600</v>
      </c>
      <c r="D8" s="16" t="s">
        <v>43</v>
      </c>
      <c r="E8" s="17" t="s">
        <v>44</v>
      </c>
    </row>
    <row r="9" customFormat="false" ht="15" hidden="false" customHeight="false" outlineLevel="0" collapsed="false">
      <c r="A9" s="10" t="s">
        <v>45</v>
      </c>
      <c r="B9" s="19" t="n">
        <v>0.152</v>
      </c>
      <c r="C9" s="19" t="n">
        <v>0.127</v>
      </c>
      <c r="D9" s="12" t="s">
        <v>46</v>
      </c>
      <c r="E9" s="13" t="s">
        <v>47</v>
      </c>
    </row>
    <row r="10" customFormat="false" ht="15" hidden="false" customHeight="false" outlineLevel="0" collapsed="false">
      <c r="A10" s="14" t="s">
        <v>48</v>
      </c>
      <c r="B10" s="20" t="n">
        <v>0.124</v>
      </c>
      <c r="C10" s="21" t="s">
        <v>49</v>
      </c>
      <c r="D10" s="16" t="s">
        <v>50</v>
      </c>
      <c r="E10" s="17" t="s">
        <v>51</v>
      </c>
    </row>
    <row r="11" customFormat="false" ht="15" hidden="false" customHeight="false" outlineLevel="0" collapsed="false">
      <c r="A11" s="10" t="s">
        <v>52</v>
      </c>
      <c r="B11" s="19" t="n">
        <v>0.188</v>
      </c>
      <c r="C11" s="22" t="s">
        <v>49</v>
      </c>
      <c r="D11" s="12" t="s">
        <v>50</v>
      </c>
      <c r="E11" s="13" t="s">
        <v>53</v>
      </c>
    </row>
    <row r="12" customFormat="false" ht="15" hidden="false" customHeight="false" outlineLevel="0" collapsed="false">
      <c r="A12" s="14" t="s">
        <v>54</v>
      </c>
      <c r="B12" s="20" t="n">
        <v>0.041</v>
      </c>
      <c r="C12" s="21" t="s">
        <v>49</v>
      </c>
      <c r="D12" s="16" t="s">
        <v>50</v>
      </c>
      <c r="E12" s="17"/>
    </row>
    <row r="13" customFormat="false" ht="15" hidden="false" customHeight="false" outlineLevel="0" collapsed="false">
      <c r="A13" s="10" t="s">
        <v>55</v>
      </c>
      <c r="B13" s="11" t="n">
        <v>850</v>
      </c>
      <c r="C13" s="11" t="n">
        <v>1758</v>
      </c>
      <c r="D13" s="12" t="s">
        <v>56</v>
      </c>
      <c r="E13" s="13" t="s">
        <v>57</v>
      </c>
    </row>
    <row r="14" customFormat="false" ht="15" hidden="false" customHeight="false" outlineLevel="0" collapsed="false">
      <c r="A14" s="14" t="s">
        <v>58</v>
      </c>
      <c r="B14" s="20" t="n">
        <v>0.012</v>
      </c>
      <c r="C14" s="20" t="n">
        <v>0.025</v>
      </c>
      <c r="D14" s="16" t="s">
        <v>59</v>
      </c>
      <c r="E14" s="17" t="s">
        <v>60</v>
      </c>
    </row>
    <row r="15" customFormat="false" ht="15" hidden="false" customHeight="false" outlineLevel="0" collapsed="false">
      <c r="A15" s="10" t="s">
        <v>61</v>
      </c>
      <c r="B15" s="18" t="n">
        <v>1980.2</v>
      </c>
      <c r="C15" s="18" t="n">
        <v>1950.6</v>
      </c>
      <c r="D15" s="12" t="s">
        <v>62</v>
      </c>
      <c r="E15" s="13" t="s">
        <v>63</v>
      </c>
    </row>
    <row r="16" customFormat="false" ht="15" hidden="false" customHeight="false" outlineLevel="0" collapsed="false">
      <c r="A16" s="14" t="s">
        <v>64</v>
      </c>
      <c r="B16" s="23" t="n">
        <v>93</v>
      </c>
      <c r="C16" s="23" t="n">
        <v>86</v>
      </c>
      <c r="D16" s="16" t="s">
        <v>65</v>
      </c>
      <c r="E16" s="17" t="s">
        <v>66</v>
      </c>
    </row>
    <row r="17" customFormat="false" ht="15" hidden="false" customHeight="false" outlineLevel="0" collapsed="false">
      <c r="A17" s="10" t="s">
        <v>67</v>
      </c>
      <c r="B17" s="24" t="n">
        <v>1.62</v>
      </c>
      <c r="C17" s="24" t="n">
        <v>1.82</v>
      </c>
      <c r="D17" s="12" t="s">
        <v>68</v>
      </c>
      <c r="E17" s="13" t="s">
        <v>69</v>
      </c>
    </row>
    <row r="18" customFormat="false" ht="15" hidden="false" customHeight="false" outlineLevel="0" collapsed="false">
      <c r="A18" s="14" t="s">
        <v>70</v>
      </c>
      <c r="B18" s="20" t="n">
        <v>0.142</v>
      </c>
      <c r="C18" s="20" t="n">
        <v>0.169</v>
      </c>
      <c r="D18" s="16" t="s">
        <v>71</v>
      </c>
      <c r="E18" s="17" t="s">
        <v>72</v>
      </c>
    </row>
    <row r="19" customFormat="false" ht="15" hidden="false" customHeight="false" outlineLevel="0" collapsed="false">
      <c r="A19" s="10" t="s">
        <v>73</v>
      </c>
      <c r="B19" s="11" t="n">
        <v>-10398</v>
      </c>
      <c r="C19" s="11" t="n">
        <v>-23227</v>
      </c>
      <c r="D19" s="12" t="s">
        <v>74</v>
      </c>
      <c r="E19" s="13" t="s">
        <v>75</v>
      </c>
    </row>
    <row r="20" customFormat="false" ht="15" hidden="false" customHeight="false" outlineLevel="0" collapsed="false">
      <c r="A20" s="14" t="s">
        <v>76</v>
      </c>
      <c r="B20" s="23" t="n">
        <v>1639</v>
      </c>
      <c r="C20" s="23" t="n">
        <v>1446.9</v>
      </c>
      <c r="D20" s="16" t="s">
        <v>30</v>
      </c>
      <c r="E20" s="17"/>
    </row>
    <row r="21" customFormat="false" ht="15" hidden="false" customHeight="false" outlineLevel="0" collapsed="false">
      <c r="A21" s="10" t="s">
        <v>77</v>
      </c>
      <c r="B21" s="24" t="n">
        <v>0.03</v>
      </c>
      <c r="C21" s="22" t="s">
        <v>49</v>
      </c>
      <c r="D21" s="12" t="s">
        <v>78</v>
      </c>
      <c r="E21" s="13"/>
    </row>
    <row r="22" customFormat="false" ht="15" hidden="false" customHeight="false" outlineLevel="0" collapsed="false">
      <c r="A22" s="14" t="s">
        <v>79</v>
      </c>
      <c r="B22" s="25" t="n">
        <v>0.05</v>
      </c>
      <c r="C22" s="21" t="s">
        <v>49</v>
      </c>
      <c r="D22" s="16" t="s">
        <v>80</v>
      </c>
      <c r="E22" s="17" t="s">
        <v>81</v>
      </c>
    </row>
    <row r="23" customFormat="false" ht="15" hidden="false" customHeight="false" outlineLevel="0" collapsed="false">
      <c r="A23" s="10" t="s">
        <v>82</v>
      </c>
      <c r="B23" s="19" t="n">
        <v>0.068</v>
      </c>
      <c r="C23" s="19" t="n">
        <v>0.062</v>
      </c>
      <c r="D23" s="12" t="s">
        <v>83</v>
      </c>
      <c r="E23" s="13" t="s">
        <v>84</v>
      </c>
    </row>
    <row r="25" customFormat="false" ht="15" hidden="false" customHeight="false" outlineLevel="0" collapsed="false">
      <c r="A25" s="26" t="s">
        <v>85</v>
      </c>
      <c r="B25" s="26"/>
      <c r="C25" s="26"/>
      <c r="D25" s="26"/>
      <c r="E25" s="26"/>
    </row>
    <row r="26" customFormat="false" ht="15" hidden="false" customHeight="false" outlineLevel="0" collapsed="false">
      <c r="A26" s="27" t="s">
        <v>86</v>
      </c>
      <c r="B26" s="27"/>
      <c r="C26" s="27"/>
      <c r="D26" s="27"/>
      <c r="E26" s="27"/>
    </row>
  </sheetData>
  <mergeCells count="3">
    <mergeCell ref="A1:E1"/>
    <mergeCell ref="A25:E25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34"/>
  </cols>
  <sheetData>
    <row r="1" customFormat="false" ht="24" hidden="false" customHeight="true" outlineLevel="0" collapsed="false">
      <c r="A1" s="2" t="s">
        <v>87</v>
      </c>
      <c r="B1" s="2"/>
      <c r="C1" s="2"/>
      <c r="D1" s="2"/>
      <c r="E1" s="2"/>
    </row>
    <row r="2" customFormat="false" ht="15" hidden="false" customHeight="false" outlineLevel="0" collapsed="false">
      <c r="A2" s="8" t="s">
        <v>88</v>
      </c>
      <c r="B2" s="28" t="s">
        <v>89</v>
      </c>
      <c r="C2" s="29" t="s">
        <v>90</v>
      </c>
      <c r="D2" s="30" t="s">
        <v>91</v>
      </c>
      <c r="E2" s="9" t="s">
        <v>92</v>
      </c>
    </row>
    <row r="3" customFormat="false" ht="15" hidden="false" customHeight="false" outlineLevel="0" collapsed="false">
      <c r="A3" s="10" t="s">
        <v>93</v>
      </c>
      <c r="B3" s="31" t="n">
        <v>0.18</v>
      </c>
      <c r="C3" s="31" t="n">
        <v>0.09</v>
      </c>
      <c r="D3" s="31" t="n">
        <v>-0.06</v>
      </c>
      <c r="E3" s="13" t="s">
        <v>94</v>
      </c>
    </row>
    <row r="4" customFormat="false" ht="15" hidden="false" customHeight="false" outlineLevel="0" collapsed="false">
      <c r="A4" s="10" t="s">
        <v>95</v>
      </c>
      <c r="B4" s="32" t="n">
        <v>16</v>
      </c>
      <c r="C4" s="32" t="n">
        <v>17.5</v>
      </c>
      <c r="D4" s="32" t="n">
        <v>19.5</v>
      </c>
      <c r="E4" s="13" t="s">
        <v>96</v>
      </c>
    </row>
    <row r="5" customFormat="false" ht="15" hidden="false" customHeight="false" outlineLevel="0" collapsed="false">
      <c r="A5" s="10" t="s">
        <v>97</v>
      </c>
      <c r="B5" s="33" t="n">
        <v>0.0625</v>
      </c>
      <c r="C5" s="33" t="n">
        <v>0.07</v>
      </c>
      <c r="D5" s="33" t="n">
        <v>0.085</v>
      </c>
      <c r="E5" s="13" t="s">
        <v>98</v>
      </c>
    </row>
    <row r="6" customFormat="false" ht="15" hidden="false" customHeight="false" outlineLevel="0" collapsed="false">
      <c r="A6" s="10" t="s">
        <v>99</v>
      </c>
      <c r="B6" s="31" t="n">
        <v>0</v>
      </c>
      <c r="C6" s="31" t="n">
        <v>-0.15</v>
      </c>
      <c r="D6" s="31" t="n">
        <v>-0.4</v>
      </c>
      <c r="E6" s="13" t="s">
        <v>100</v>
      </c>
    </row>
    <row r="7" customFormat="false" ht="15" hidden="false" customHeight="false" outlineLevel="0" collapsed="false">
      <c r="A7" s="10" t="s">
        <v>101</v>
      </c>
      <c r="B7" s="34" t="n">
        <v>0.019</v>
      </c>
      <c r="C7" s="34" t="n">
        <v>0.016</v>
      </c>
      <c r="D7" s="34" t="n">
        <v>0.011</v>
      </c>
      <c r="E7" s="13" t="s">
        <v>102</v>
      </c>
    </row>
    <row r="8" customFormat="false" ht="15" hidden="false" customHeight="false" outlineLevel="0" collapsed="false">
      <c r="A8" s="10" t="s">
        <v>103</v>
      </c>
      <c r="B8" s="32" t="n">
        <v>1.2</v>
      </c>
      <c r="C8" s="32" t="n">
        <v>1</v>
      </c>
      <c r="D8" s="32" t="n">
        <v>0.6</v>
      </c>
      <c r="E8" s="13" t="s">
        <v>104</v>
      </c>
    </row>
    <row r="9" customFormat="false" ht="15" hidden="false" customHeight="false" outlineLevel="0" collapsed="false">
      <c r="A9" s="35" t="s">
        <v>105</v>
      </c>
      <c r="B9" s="35"/>
      <c r="C9" s="35"/>
      <c r="D9" s="35"/>
      <c r="E9" s="35"/>
    </row>
    <row r="10" customFormat="false" ht="15" hidden="false" customHeight="false" outlineLevel="0" collapsed="false">
      <c r="A10" s="8" t="s">
        <v>106</v>
      </c>
      <c r="B10" s="9" t="s">
        <v>89</v>
      </c>
      <c r="C10" s="9" t="s">
        <v>90</v>
      </c>
      <c r="D10" s="9" t="s">
        <v>91</v>
      </c>
      <c r="E10" s="9" t="s">
        <v>107</v>
      </c>
    </row>
    <row r="11" customFormat="false" ht="15" hidden="false" customHeight="false" outlineLevel="0" collapsed="false">
      <c r="A11" s="10" t="s">
        <v>108</v>
      </c>
      <c r="B11" s="34" t="n">
        <v>0.13</v>
      </c>
      <c r="C11" s="34" t="n">
        <v>0.09</v>
      </c>
      <c r="D11" s="34" t="n">
        <v>0.02</v>
      </c>
      <c r="E11" s="36" t="s">
        <v>109</v>
      </c>
    </row>
    <row r="12" customFormat="false" ht="15" hidden="false" customHeight="false" outlineLevel="0" collapsed="false">
      <c r="A12" s="10" t="s">
        <v>110</v>
      </c>
      <c r="B12" s="34" t="n">
        <v>0.12</v>
      </c>
      <c r="C12" s="34" t="n">
        <v>0.09</v>
      </c>
      <c r="D12" s="34" t="n">
        <v>0.05</v>
      </c>
      <c r="E12" s="36" t="s">
        <v>109</v>
      </c>
    </row>
    <row r="13" customFormat="false" ht="15" hidden="false" customHeight="false" outlineLevel="0" collapsed="false">
      <c r="A13" s="10" t="s">
        <v>111</v>
      </c>
      <c r="B13" s="34" t="n">
        <v>0.14</v>
      </c>
      <c r="C13" s="34" t="n">
        <v>0.03</v>
      </c>
      <c r="D13" s="34" t="n">
        <v>-0.12</v>
      </c>
      <c r="E13" s="36" t="s">
        <v>112</v>
      </c>
    </row>
    <row r="14" customFormat="false" ht="15" hidden="false" customHeight="false" outlineLevel="0" collapsed="false">
      <c r="A14" s="10" t="s">
        <v>113</v>
      </c>
      <c r="B14" s="34" t="n">
        <v>0.13</v>
      </c>
      <c r="C14" s="34" t="n">
        <v>0.08</v>
      </c>
      <c r="D14" s="34" t="n">
        <v>0.04</v>
      </c>
      <c r="E14" s="36" t="s">
        <v>114</v>
      </c>
    </row>
    <row r="15" customFormat="false" ht="15" hidden="false" customHeight="false" outlineLevel="0" collapsed="false">
      <c r="A15" s="10" t="s">
        <v>115</v>
      </c>
      <c r="B15" s="37" t="n">
        <v>4278</v>
      </c>
      <c r="C15" s="37" t="n">
        <v>4290</v>
      </c>
      <c r="D15" s="37" t="n">
        <v>4330</v>
      </c>
      <c r="E15" s="36" t="s">
        <v>116</v>
      </c>
    </row>
    <row r="16" customFormat="false" ht="15" hidden="false" customHeight="false" outlineLevel="0" collapsed="false">
      <c r="A16" s="10" t="s">
        <v>117</v>
      </c>
      <c r="B16" s="37" t="n">
        <v>4200</v>
      </c>
      <c r="C16" s="37" t="n">
        <v>4230</v>
      </c>
      <c r="D16" s="37" t="n">
        <v>4310</v>
      </c>
      <c r="E16" s="36" t="s">
        <v>118</v>
      </c>
    </row>
    <row r="17" customFormat="false" ht="15" hidden="false" customHeight="false" outlineLevel="0" collapsed="false">
      <c r="A17" s="10" t="s">
        <v>119</v>
      </c>
      <c r="B17" s="34" t="n">
        <v>0.09</v>
      </c>
      <c r="C17" s="34" t="n">
        <v>0.07</v>
      </c>
      <c r="D17" s="34" t="n">
        <v>0.03</v>
      </c>
      <c r="E17" s="36" t="s">
        <v>120</v>
      </c>
    </row>
    <row r="18" customFormat="false" ht="15" hidden="false" customHeight="false" outlineLevel="0" collapsed="false">
      <c r="A18" s="10" t="s">
        <v>121</v>
      </c>
      <c r="B18" s="34" t="n">
        <v>0.1</v>
      </c>
      <c r="C18" s="34" t="n">
        <v>0.08</v>
      </c>
      <c r="D18" s="34" t="n">
        <v>0.04</v>
      </c>
      <c r="E18" s="36" t="s">
        <v>120</v>
      </c>
    </row>
    <row r="19" customFormat="false" ht="15" hidden="false" customHeight="false" outlineLevel="0" collapsed="false">
      <c r="A19" s="10" t="s">
        <v>122</v>
      </c>
      <c r="B19" s="34" t="n">
        <v>0.16</v>
      </c>
      <c r="C19" s="34" t="n">
        <v>0.135</v>
      </c>
      <c r="D19" s="34" t="n">
        <v>0.105</v>
      </c>
      <c r="E19" s="36" t="s">
        <v>123</v>
      </c>
    </row>
    <row r="20" customFormat="false" ht="15" hidden="false" customHeight="false" outlineLevel="0" collapsed="false">
      <c r="A20" s="10" t="s">
        <v>124</v>
      </c>
      <c r="B20" s="34" t="n">
        <v>0.168</v>
      </c>
      <c r="C20" s="34" t="n">
        <v>0.145</v>
      </c>
      <c r="D20" s="34" t="n">
        <v>0.115</v>
      </c>
      <c r="E20" s="36" t="s">
        <v>123</v>
      </c>
    </row>
    <row r="22" customFormat="false" ht="15" hidden="false" customHeight="true" outlineLevel="0" collapsed="false">
      <c r="A22" s="7" t="s">
        <v>125</v>
      </c>
      <c r="B22" s="7"/>
      <c r="C22" s="7"/>
      <c r="D22" s="7"/>
      <c r="E22" s="7"/>
    </row>
    <row r="23" customFormat="false" ht="15" hidden="false" customHeight="false" outlineLevel="0" collapsed="false">
      <c r="A23" s="7"/>
      <c r="B23" s="7"/>
      <c r="C23" s="7"/>
      <c r="D23" s="7"/>
      <c r="E23" s="7"/>
    </row>
  </sheetData>
  <mergeCells count="3">
    <mergeCell ref="A1:E1"/>
    <mergeCell ref="A9:E9"/>
    <mergeCell ref="A22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30"/>
  </cols>
  <sheetData>
    <row r="1" customFormat="false" ht="24" hidden="false" customHeight="true" outlineLevel="0" collapsed="false">
      <c r="A1" s="2" t="s">
        <v>126</v>
      </c>
      <c r="B1" s="2"/>
      <c r="C1" s="2"/>
      <c r="D1" s="2"/>
      <c r="E1" s="2"/>
    </row>
    <row r="2" customFormat="false" ht="15" hidden="false" customHeight="false" outlineLevel="0" collapsed="false">
      <c r="A2" s="8" t="s">
        <v>127</v>
      </c>
      <c r="B2" s="28" t="s">
        <v>89</v>
      </c>
      <c r="C2" s="29" t="s">
        <v>90</v>
      </c>
      <c r="D2" s="30" t="s">
        <v>91</v>
      </c>
      <c r="E2" s="9" t="s">
        <v>128</v>
      </c>
    </row>
    <row r="3" customFormat="false" ht="15" hidden="false" customHeight="false" outlineLevel="0" collapsed="false">
      <c r="A3" s="14" t="s">
        <v>29</v>
      </c>
      <c r="B3" s="38" t="n">
        <f aca="false">'FY2025 Actuals'!B3*(1+'Scenario Drivers'!B11)</f>
        <v>11097.73</v>
      </c>
      <c r="C3" s="38" t="n">
        <f aca="false">'FY2025 Actuals'!B3*(1+'Scenario Drivers'!C11)</f>
        <v>10704.89</v>
      </c>
      <c r="D3" s="38" t="n">
        <f aca="false">'FY2025 Actuals'!B3*(1+'Scenario Drivers'!D11)</f>
        <v>10017.42</v>
      </c>
      <c r="E3" s="39" t="s">
        <v>129</v>
      </c>
    </row>
    <row r="4" customFormat="false" ht="15" hidden="false" customHeight="false" outlineLevel="0" collapsed="false">
      <c r="A4" s="10" t="s">
        <v>130</v>
      </c>
      <c r="B4" s="40" t="n">
        <f aca="false">'Scenario Drivers'!B11</f>
        <v>0.13</v>
      </c>
      <c r="C4" s="40" t="n">
        <f aca="false">'Scenario Drivers'!C11</f>
        <v>0.09</v>
      </c>
      <c r="D4" s="40" t="n">
        <f aca="false">'Scenario Drivers'!D11</f>
        <v>0.02</v>
      </c>
      <c r="E4" s="36" t="s">
        <v>131</v>
      </c>
    </row>
    <row r="5" customFormat="false" ht="15" hidden="false" customHeight="false" outlineLevel="0" collapsed="false">
      <c r="A5" s="14" t="s">
        <v>32</v>
      </c>
      <c r="B5" s="38" t="n">
        <f aca="false">'FY2025 Actuals'!B4*(1+'Scenario Drivers'!B13)</f>
        <v>9419.82</v>
      </c>
      <c r="C5" s="38" t="n">
        <f aca="false">'FY2025 Actuals'!B4*(1+'Scenario Drivers'!C13)</f>
        <v>8510.89</v>
      </c>
      <c r="D5" s="38" t="n">
        <f aca="false">'FY2025 Actuals'!B4*(1+'Scenario Drivers'!D13)</f>
        <v>7271.44</v>
      </c>
      <c r="E5" s="39" t="s">
        <v>132</v>
      </c>
    </row>
    <row r="6" customFormat="false" ht="15" hidden="false" customHeight="false" outlineLevel="0" collapsed="false">
      <c r="A6" s="10" t="s">
        <v>133</v>
      </c>
      <c r="B6" s="40" t="n">
        <f aca="false">'Scenario Drivers'!B13</f>
        <v>0.14</v>
      </c>
      <c r="C6" s="40" t="n">
        <f aca="false">'Scenario Drivers'!C13</f>
        <v>0.03</v>
      </c>
      <c r="D6" s="40" t="n">
        <f aca="false">'Scenario Drivers'!D13</f>
        <v>-0.12</v>
      </c>
      <c r="E6" s="36" t="s">
        <v>134</v>
      </c>
    </row>
    <row r="7" customFormat="false" ht="15" hidden="false" customHeight="false" outlineLevel="0" collapsed="false">
      <c r="A7" s="14" t="s">
        <v>135</v>
      </c>
      <c r="B7" s="38" t="n">
        <f aca="false">'Scenario Drivers'!B15</f>
        <v>4278</v>
      </c>
      <c r="C7" s="38" t="n">
        <f aca="false">'Scenario Drivers'!C15</f>
        <v>4290</v>
      </c>
      <c r="D7" s="38" t="n">
        <f aca="false">'Scenario Drivers'!D15</f>
        <v>4330</v>
      </c>
      <c r="E7" s="39" t="s">
        <v>136</v>
      </c>
    </row>
    <row r="8" customFormat="false" ht="15" hidden="false" customHeight="false" outlineLevel="0" collapsed="false">
      <c r="A8" s="10" t="s">
        <v>35</v>
      </c>
      <c r="B8" s="41" t="n">
        <f aca="false">B5/B7*100</f>
        <v>220.192145862553</v>
      </c>
      <c r="C8" s="41" t="n">
        <f aca="false">C5/C7*100</f>
        <v>198.389044289044</v>
      </c>
      <c r="D8" s="41" t="n">
        <f aca="false">D5/D7*100</f>
        <v>167.931639722864</v>
      </c>
      <c r="E8" s="36" t="s">
        <v>137</v>
      </c>
    </row>
    <row r="9" customFormat="false" ht="15" hidden="false" customHeight="false" outlineLevel="0" collapsed="false">
      <c r="A9" s="14" t="s">
        <v>138</v>
      </c>
      <c r="B9" s="42" t="n">
        <f aca="false">B8/'FY2025 Actuals'!B5-1</f>
        <v>0.160127217400172</v>
      </c>
      <c r="C9" s="42" t="n">
        <f aca="false">C8/'FY2025 Actuals'!B5-1</f>
        <v>0.0452531311330047</v>
      </c>
      <c r="D9" s="42" t="n">
        <f aca="false">D8/'FY2025 Actuals'!B5-1</f>
        <v>-0.115217915053405</v>
      </c>
      <c r="E9" s="39" t="s">
        <v>139</v>
      </c>
    </row>
    <row r="10" customFormat="false" ht="15" hidden="false" customHeight="false" outlineLevel="0" collapsed="false">
      <c r="A10" s="10" t="s">
        <v>140</v>
      </c>
      <c r="B10" s="41" t="n">
        <f aca="false">'FY2025 Actuals'!B16*(1+'Scenario Drivers'!B17)</f>
        <v>101.37</v>
      </c>
      <c r="C10" s="41" t="n">
        <f aca="false">'FY2025 Actuals'!B16*(1+'Scenario Drivers'!C17)</f>
        <v>99.51</v>
      </c>
      <c r="D10" s="41" t="n">
        <f aca="false">'FY2025 Actuals'!B16*(1+'Scenario Drivers'!D17)</f>
        <v>95.79</v>
      </c>
      <c r="E10" s="36" t="s">
        <v>141</v>
      </c>
    </row>
    <row r="11" customFormat="false" ht="15" hidden="false" customHeight="false" outlineLevel="0" collapsed="false">
      <c r="A11" s="14" t="s">
        <v>142</v>
      </c>
      <c r="B11" s="42" t="n">
        <f aca="false">'Scenario Drivers'!B19</f>
        <v>0.16</v>
      </c>
      <c r="C11" s="42" t="n">
        <f aca="false">'Scenario Drivers'!C19</f>
        <v>0.135</v>
      </c>
      <c r="D11" s="42" t="n">
        <f aca="false">'Scenario Drivers'!D19</f>
        <v>0.105</v>
      </c>
      <c r="E11" s="39" t="s">
        <v>143</v>
      </c>
    </row>
    <row r="12" customFormat="false" ht="15" hidden="false" customHeight="false" outlineLevel="0" collapsed="false">
      <c r="A12" s="10" t="s">
        <v>58</v>
      </c>
      <c r="B12" s="40" t="n">
        <f aca="false">'Scenario Drivers'!B7</f>
        <v>0.019</v>
      </c>
      <c r="C12" s="40" t="n">
        <f aca="false">'Scenario Drivers'!C7</f>
        <v>0.016</v>
      </c>
      <c r="D12" s="40" t="n">
        <f aca="false">'Scenario Drivers'!D7</f>
        <v>0.011</v>
      </c>
      <c r="E12" s="36" t="s">
        <v>144</v>
      </c>
    </row>
    <row r="14" customFormat="false" ht="57.75" hidden="false" customHeight="true" outlineLevel="0" collapsed="false">
      <c r="A14" s="5" t="s">
        <v>145</v>
      </c>
      <c r="B14" s="43" t="s">
        <v>146</v>
      </c>
      <c r="C14" s="43" t="s">
        <v>147</v>
      </c>
      <c r="D14" s="43" t="s">
        <v>148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30"/>
  </cols>
  <sheetData>
    <row r="1" customFormat="false" ht="24" hidden="false" customHeight="true" outlineLevel="0" collapsed="false">
      <c r="A1" s="2" t="s">
        <v>149</v>
      </c>
      <c r="B1" s="2"/>
      <c r="C1" s="2"/>
      <c r="D1" s="2"/>
      <c r="E1" s="2"/>
    </row>
    <row r="2" customFormat="false" ht="15" hidden="false" customHeight="false" outlineLevel="0" collapsed="false">
      <c r="A2" s="8" t="s">
        <v>150</v>
      </c>
      <c r="B2" s="28" t="s">
        <v>89</v>
      </c>
      <c r="C2" s="29" t="s">
        <v>90</v>
      </c>
      <c r="D2" s="30" t="s">
        <v>91</v>
      </c>
      <c r="E2" s="9" t="s">
        <v>128</v>
      </c>
    </row>
    <row r="3" customFormat="false" ht="15" hidden="false" customHeight="false" outlineLevel="0" collapsed="false">
      <c r="A3" s="14" t="s">
        <v>29</v>
      </c>
      <c r="B3" s="38" t="n">
        <f aca="false">'FY2026e Model'!B3*(1+'Scenario Drivers'!B12)</f>
        <v>12429.4576</v>
      </c>
      <c r="C3" s="38" t="n">
        <f aca="false">'FY2026e Model'!C3*(1+'Scenario Drivers'!C12)</f>
        <v>11668.3301</v>
      </c>
      <c r="D3" s="38" t="n">
        <f aca="false">'FY2026e Model'!D3*(1+'Scenario Drivers'!D12)</f>
        <v>10518.291</v>
      </c>
      <c r="E3" s="39" t="s">
        <v>151</v>
      </c>
    </row>
    <row r="4" customFormat="false" ht="15" hidden="false" customHeight="false" outlineLevel="0" collapsed="false">
      <c r="A4" s="10" t="s">
        <v>130</v>
      </c>
      <c r="B4" s="40" t="n">
        <f aca="false">'Scenario Drivers'!B12</f>
        <v>0.12</v>
      </c>
      <c r="C4" s="40" t="n">
        <f aca="false">'Scenario Drivers'!C12</f>
        <v>0.09</v>
      </c>
      <c r="D4" s="40" t="n">
        <f aca="false">'Scenario Drivers'!D12</f>
        <v>0.05</v>
      </c>
      <c r="E4" s="36" t="s">
        <v>131</v>
      </c>
    </row>
    <row r="5" customFormat="false" ht="15" hidden="false" customHeight="false" outlineLevel="0" collapsed="false">
      <c r="A5" s="14" t="s">
        <v>32</v>
      </c>
      <c r="B5" s="38" t="n">
        <f aca="false">'FY2026e Model'!B5*(1+'Scenario Drivers'!B14)</f>
        <v>10644.3966</v>
      </c>
      <c r="C5" s="38" t="n">
        <f aca="false">'FY2026e Model'!C5*(1+'Scenario Drivers'!C14)</f>
        <v>9191.7612</v>
      </c>
      <c r="D5" s="38" t="n">
        <f aca="false">'FY2026e Model'!D5*(1+'Scenario Drivers'!D14)</f>
        <v>7562.2976</v>
      </c>
      <c r="E5" s="39" t="s">
        <v>152</v>
      </c>
    </row>
    <row r="6" customFormat="false" ht="15" hidden="false" customHeight="false" outlineLevel="0" collapsed="false">
      <c r="A6" s="10" t="s">
        <v>133</v>
      </c>
      <c r="B6" s="40" t="n">
        <f aca="false">'Scenario Drivers'!B14</f>
        <v>0.13</v>
      </c>
      <c r="C6" s="40" t="n">
        <f aca="false">'Scenario Drivers'!C14</f>
        <v>0.08</v>
      </c>
      <c r="D6" s="40" t="n">
        <f aca="false">'Scenario Drivers'!D14</f>
        <v>0.04</v>
      </c>
      <c r="E6" s="36" t="s">
        <v>131</v>
      </c>
    </row>
    <row r="7" customFormat="false" ht="15" hidden="false" customHeight="false" outlineLevel="0" collapsed="false">
      <c r="A7" s="14" t="s">
        <v>135</v>
      </c>
      <c r="B7" s="38" t="n">
        <f aca="false">'Scenario Drivers'!B16</f>
        <v>4200</v>
      </c>
      <c r="C7" s="38" t="n">
        <f aca="false">'Scenario Drivers'!C16</f>
        <v>4230</v>
      </c>
      <c r="D7" s="38" t="n">
        <f aca="false">'Scenario Drivers'!D16</f>
        <v>4310</v>
      </c>
      <c r="E7" s="39" t="s">
        <v>136</v>
      </c>
    </row>
    <row r="8" customFormat="false" ht="15" hidden="false" customHeight="false" outlineLevel="0" collapsed="false">
      <c r="A8" s="10" t="s">
        <v>35</v>
      </c>
      <c r="B8" s="41" t="n">
        <f aca="false">B5/B7*100</f>
        <v>253.438014285714</v>
      </c>
      <c r="C8" s="41" t="n">
        <f aca="false">C5/C7*100</f>
        <v>217.299319148936</v>
      </c>
      <c r="D8" s="41" t="n">
        <f aca="false">D5/D7*100</f>
        <v>175.459341067285</v>
      </c>
      <c r="E8" s="36" t="s">
        <v>137</v>
      </c>
    </row>
    <row r="9" customFormat="false" ht="15" hidden="false" customHeight="false" outlineLevel="0" collapsed="false">
      <c r="A9" s="14" t="s">
        <v>138</v>
      </c>
      <c r="B9" s="42" t="n">
        <f aca="false">B8/'FY2025 Actuals'!B5-1</f>
        <v>0.335289853981635</v>
      </c>
      <c r="C9" s="42" t="n">
        <f aca="false">C8/'FY2025 Actuals'!B5-1</f>
        <v>0.14488577001547</v>
      </c>
      <c r="D9" s="42" t="n">
        <f aca="false">D8/'FY2025 Actuals'!B5-1</f>
        <v>-0.0755566856307409</v>
      </c>
      <c r="E9" s="39" t="s">
        <v>153</v>
      </c>
    </row>
    <row r="10" customFormat="false" ht="15" hidden="false" customHeight="false" outlineLevel="0" collapsed="false">
      <c r="A10" s="10" t="s">
        <v>140</v>
      </c>
      <c r="B10" s="41" t="n">
        <f aca="false">'FY2026e Model'!B10*(1+'Scenario Drivers'!B18)</f>
        <v>111.507</v>
      </c>
      <c r="C10" s="41" t="n">
        <f aca="false">'FY2026e Model'!C10*(1+'Scenario Drivers'!C18)</f>
        <v>107.4708</v>
      </c>
      <c r="D10" s="41" t="n">
        <f aca="false">'FY2026e Model'!D10*(1+'Scenario Drivers'!D18)</f>
        <v>99.6216</v>
      </c>
      <c r="E10" s="36" t="s">
        <v>154</v>
      </c>
    </row>
    <row r="11" customFormat="false" ht="15" hidden="false" customHeight="false" outlineLevel="0" collapsed="false">
      <c r="A11" s="14" t="s">
        <v>142</v>
      </c>
      <c r="B11" s="42" t="n">
        <f aca="false">'Scenario Drivers'!B20</f>
        <v>0.168</v>
      </c>
      <c r="C11" s="42" t="n">
        <f aca="false">'Scenario Drivers'!C20</f>
        <v>0.145</v>
      </c>
      <c r="D11" s="42" t="n">
        <f aca="false">'Scenario Drivers'!D20</f>
        <v>0.115</v>
      </c>
      <c r="E11" s="39" t="s">
        <v>155</v>
      </c>
    </row>
    <row r="12" customFormat="false" ht="15" hidden="false" customHeight="false" outlineLevel="0" collapsed="false">
      <c r="A12" s="10" t="s">
        <v>58</v>
      </c>
      <c r="B12" s="40" t="n">
        <f aca="false">'Scenario Drivers'!B7+0.004</f>
        <v>0.023</v>
      </c>
      <c r="C12" s="40" t="n">
        <f aca="false">'Scenario Drivers'!C7+0.004</f>
        <v>0.02</v>
      </c>
      <c r="D12" s="40" t="n">
        <f aca="false">'Scenario Drivers'!D7+0.004</f>
        <v>0.015</v>
      </c>
      <c r="E12" s="36" t="s">
        <v>156</v>
      </c>
    </row>
    <row r="14" customFormat="false" ht="51.75" hidden="false" customHeight="true" outlineLevel="0" collapsed="false">
      <c r="A14" s="5" t="s">
        <v>145</v>
      </c>
      <c r="B14" s="43" t="s">
        <v>157</v>
      </c>
      <c r="C14" s="43" t="s">
        <v>158</v>
      </c>
      <c r="D14" s="43" t="s">
        <v>159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38"/>
  </cols>
  <sheetData>
    <row r="1" customFormat="false" ht="24" hidden="false" customHeight="true" outlineLevel="0" collapsed="false">
      <c r="A1" s="2" t="s">
        <v>160</v>
      </c>
      <c r="B1" s="2"/>
      <c r="C1" s="2"/>
      <c r="D1" s="2"/>
    </row>
    <row r="2" customFormat="false" ht="15" hidden="false" customHeight="false" outlineLevel="0" collapsed="false">
      <c r="A2" s="44" t="s">
        <v>161</v>
      </c>
      <c r="B2" s="44" t="s">
        <v>162</v>
      </c>
      <c r="C2" s="44" t="s">
        <v>163</v>
      </c>
      <c r="D2" s="44" t="s">
        <v>164</v>
      </c>
    </row>
    <row r="3" customFormat="false" ht="45.75" hidden="false" customHeight="true" outlineLevel="0" collapsed="false">
      <c r="A3" s="45" t="s">
        <v>165</v>
      </c>
      <c r="B3" s="46" t="s">
        <v>166</v>
      </c>
      <c r="C3" s="47" t="s">
        <v>167</v>
      </c>
      <c r="D3" s="46" t="s">
        <v>168</v>
      </c>
    </row>
    <row r="4" customFormat="false" ht="45.75" hidden="false" customHeight="true" outlineLevel="0" collapsed="false">
      <c r="A4" s="45" t="s">
        <v>169</v>
      </c>
      <c r="B4" s="46" t="s">
        <v>170</v>
      </c>
      <c r="C4" s="47" t="s">
        <v>167</v>
      </c>
      <c r="D4" s="46" t="s">
        <v>171</v>
      </c>
    </row>
    <row r="5" customFormat="false" ht="45.75" hidden="false" customHeight="true" outlineLevel="0" collapsed="false">
      <c r="A5" s="45" t="s">
        <v>172</v>
      </c>
      <c r="B5" s="46" t="s">
        <v>173</v>
      </c>
      <c r="C5" s="48" t="s">
        <v>174</v>
      </c>
      <c r="D5" s="46" t="s">
        <v>175</v>
      </c>
    </row>
    <row r="6" customFormat="false" ht="45.75" hidden="false" customHeight="true" outlineLevel="0" collapsed="false">
      <c r="A6" s="45" t="s">
        <v>176</v>
      </c>
      <c r="B6" s="46" t="s">
        <v>177</v>
      </c>
      <c r="C6" s="48" t="s">
        <v>174</v>
      </c>
      <c r="D6" s="46" t="s">
        <v>178</v>
      </c>
    </row>
    <row r="7" customFormat="false" ht="45.75" hidden="false" customHeight="true" outlineLevel="0" collapsed="false">
      <c r="A7" s="45" t="s">
        <v>179</v>
      </c>
      <c r="B7" s="46" t="s">
        <v>180</v>
      </c>
      <c r="C7" s="48" t="s">
        <v>174</v>
      </c>
      <c r="D7" s="46" t="s">
        <v>181</v>
      </c>
    </row>
    <row r="8" customFormat="false" ht="45.75" hidden="false" customHeight="true" outlineLevel="0" collapsed="false">
      <c r="A8" s="45" t="s">
        <v>182</v>
      </c>
      <c r="B8" s="46" t="s">
        <v>183</v>
      </c>
      <c r="C8" s="48" t="s">
        <v>174</v>
      </c>
      <c r="D8" s="46" t="s">
        <v>184</v>
      </c>
    </row>
    <row r="9" customFormat="false" ht="45.75" hidden="false" customHeight="true" outlineLevel="0" collapsed="false">
      <c r="A9" s="45" t="s">
        <v>185</v>
      </c>
      <c r="B9" s="46" t="s">
        <v>186</v>
      </c>
      <c r="C9" s="47" t="s">
        <v>167</v>
      </c>
      <c r="D9" s="46" t="s">
        <v>187</v>
      </c>
    </row>
    <row r="10" customFormat="false" ht="45.75" hidden="false" customHeight="true" outlineLevel="0" collapsed="false">
      <c r="A10" s="45" t="s">
        <v>188</v>
      </c>
      <c r="B10" s="46" t="s">
        <v>189</v>
      </c>
      <c r="C10" s="47" t="s">
        <v>167</v>
      </c>
      <c r="D10" s="46" t="s">
        <v>190</v>
      </c>
    </row>
    <row r="11" customFormat="false" ht="45.75" hidden="false" customHeight="true" outlineLevel="0" collapsed="false">
      <c r="A11" s="45" t="s">
        <v>191</v>
      </c>
      <c r="B11" s="46" t="s">
        <v>192</v>
      </c>
      <c r="C11" s="47" t="s">
        <v>167</v>
      </c>
      <c r="D11" s="46" t="s">
        <v>193</v>
      </c>
    </row>
    <row r="12" customFormat="false" ht="45.75" hidden="false" customHeight="true" outlineLevel="0" collapsed="false">
      <c r="A12" s="45" t="s">
        <v>194</v>
      </c>
      <c r="B12" s="46" t="s">
        <v>195</v>
      </c>
      <c r="C12" s="49" t="s">
        <v>196</v>
      </c>
      <c r="D12" s="46" t="s">
        <v>197</v>
      </c>
    </row>
    <row r="13" customFormat="false" ht="45.75" hidden="false" customHeight="true" outlineLevel="0" collapsed="false">
      <c r="A13" s="45" t="s">
        <v>198</v>
      </c>
      <c r="B13" s="46" t="s">
        <v>199</v>
      </c>
      <c r="C13" s="47" t="s">
        <v>167</v>
      </c>
      <c r="D13" s="46" t="s">
        <v>200</v>
      </c>
    </row>
    <row r="14" customFormat="false" ht="45.75" hidden="false" customHeight="true" outlineLevel="0" collapsed="false">
      <c r="A14" s="45" t="s">
        <v>201</v>
      </c>
      <c r="B14" s="46" t="s">
        <v>202</v>
      </c>
      <c r="C14" s="47" t="s">
        <v>167</v>
      </c>
      <c r="D14" s="46" t="s">
        <v>203</v>
      </c>
    </row>
    <row r="16" customFormat="false" ht="15" hidden="false" customHeight="false" outlineLevel="0" collapsed="false">
      <c r="A16" s="50" t="s">
        <v>204</v>
      </c>
      <c r="B16" s="51" t="s">
        <v>205</v>
      </c>
      <c r="C16" s="51"/>
      <c r="D16" s="51"/>
    </row>
  </sheetData>
  <mergeCells count="2">
    <mergeCell ref="A1:D1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2026-06-18T07:11:30Z</dcterms:created>
  <dc:creator>openpyxl</dc:creator>
  <dc:description/>
  <dc:language>en-US</dc:language>
  <cp:lastModifiedBy/>
  <dcterms:modified xsi:type="dcterms:W3CDTF">2026-06-18T07:11:30Z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