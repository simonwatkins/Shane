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er Comparison" sheetId="1" state="visible" r:id="rId3"/>
    <sheet name="Ratios &amp; Fla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<sst xmlns="http://schemas.openxmlformats.org/spreadsheetml/2006/main" count="39" uniqueCount="29">
  <si>
    <t xml:space="preserve">MINING PEER COMPARISON  —  ILLUSTRATIVE TEMPLATE (placeholder figures for demonstration; replace with cited actuals)</t>
  </si>
  <si>
    <t xml:space="preserve">Blue = input (replace with sourced figure). Black = formula. Demo artifact for the AllWeather presentation — not investment advice.</t>
  </si>
  <si>
    <t xml:space="preserve">Company</t>
  </si>
  <si>
    <t xml:space="preserve">Commodity</t>
  </si>
  <si>
    <t xml:space="preserve">Revenue (R'm)</t>
  </si>
  <si>
    <t xml:space="preserve">EBITDA (R'm)</t>
  </si>
  <si>
    <t xml:space="preserve">EBITDA margin</t>
  </si>
  <si>
    <t xml:space="preserve">HEPS (c)</t>
  </si>
  <si>
    <t xml:space="preserve">DPS (c)</t>
  </si>
  <si>
    <t xml:space="preserve">Div cover</t>
  </si>
  <si>
    <t xml:space="preserve">Net debt (R'm)</t>
  </si>
  <si>
    <t xml:space="preserve">Net debt/EBITDA</t>
  </si>
  <si>
    <t xml:space="preserve">FCF (R'm)</t>
  </si>
  <si>
    <t xml:space="preserve">Mkt cap (R'm)</t>
  </si>
  <si>
    <t xml:space="preserve">FCF yield</t>
  </si>
  <si>
    <t xml:space="preserve">Source</t>
  </si>
  <si>
    <t xml:space="preserve">Anglo American</t>
  </si>
  <si>
    <t xml:space="preserve">Diversified</t>
  </si>
  <si>
    <t xml:space="preserve">Illustrative — replace with cited actuals</t>
  </si>
  <si>
    <t xml:space="preserve">BHP</t>
  </si>
  <si>
    <t xml:space="preserve">Sasol</t>
  </si>
  <si>
    <t xml:space="preserve">Energy &amp; chemicals</t>
  </si>
  <si>
    <t xml:space="preserve">Gold Fields</t>
  </si>
  <si>
    <t xml:space="preserve">Gold</t>
  </si>
  <si>
    <t xml:space="preserve">Exxaro</t>
  </si>
  <si>
    <t xml:space="preserve">Coal</t>
  </si>
  <si>
    <t xml:space="preserve">RATIOS &amp; RED-FLAGS  —  ILLUSTRATIVE (pulls from Peer Comparison)</t>
  </si>
  <si>
    <t xml:space="preserve">Leverage flag</t>
  </si>
  <si>
    <t xml:space="preserve">Flag thresholds (illustrative): Net debt/EBITDA  &gt;1.5x High (red) · 0.75–1.5x Moderate (amber) · &lt;0.75x Low (green) · ≤0 Net cash.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</si>
</sst>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C9A227"/>
        <bgColor rgb="FF99CC00"/>
      </patternFill>
    </fill>
    <fill>
      <patternFill patternType="solid">
        <fgColor rgb="FFEEF3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8" min="6" style="0" width="9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s">
        <v>17</v>
      </c>
      <c r="C5" s="6" t="n">
        <v>600000</v>
      </c>
      <c r="D5" s="6" t="n">
        <v>180000</v>
      </c>
      <c r="E5" s="7" t="n">
        <f aca="false">D5/C5</f>
        <v>0.3</v>
      </c>
      <c r="F5" s="6" t="n">
        <v>2500</v>
      </c>
      <c r="G5" s="6" t="n">
        <v>1000</v>
      </c>
      <c r="H5" s="8" t="n">
        <f aca="false">IF(G5&gt;0,F5/G5,"n/a")</f>
        <v>2.5</v>
      </c>
      <c r="I5" s="6" t="n">
        <v>90000</v>
      </c>
      <c r="J5" s="8" t="n">
        <f aca="false">I5/D5</f>
        <v>0.5</v>
      </c>
      <c r="K5" s="6" t="n">
        <v>60000</v>
      </c>
      <c r="L5" s="6" t="n">
        <v>700000</v>
      </c>
      <c r="M5" s="7" t="n">
        <f aca="false">K5/L5</f>
        <v>0.0857142857142857</v>
      </c>
      <c r="N5" s="9" t="s">
        <v>18</v>
      </c>
    </row>
    <row r="6" customFormat="false" ht="15" hidden="false" customHeight="false" outlineLevel="0" collapsed="false">
      <c r="A6" s="10" t="s">
        <v>19</v>
      </c>
      <c r="B6" s="11" t="s">
        <v>17</v>
      </c>
      <c r="C6" s="12" t="n">
        <v>1000000</v>
      </c>
      <c r="D6" s="12" t="n">
        <v>500000</v>
      </c>
      <c r="E6" s="13" t="n">
        <f aca="false">D6/C6</f>
        <v>0.5</v>
      </c>
      <c r="F6" s="12" t="n">
        <v>4500</v>
      </c>
      <c r="G6" s="12" t="n">
        <v>2800</v>
      </c>
      <c r="H6" s="14" t="n">
        <f aca="false">IF(G6&gt;0,F6/G6,"n/a")</f>
        <v>1.60714285714286</v>
      </c>
      <c r="I6" s="12" t="n">
        <v>200000</v>
      </c>
      <c r="J6" s="14" t="n">
        <f aca="false">I6/D6</f>
        <v>0.4</v>
      </c>
      <c r="K6" s="12" t="n">
        <v>220000</v>
      </c>
      <c r="L6" s="12" t="n">
        <v>2500000</v>
      </c>
      <c r="M6" s="13" t="n">
        <f aca="false">K6/L6</f>
        <v>0.088</v>
      </c>
      <c r="N6" s="15" t="s">
        <v>18</v>
      </c>
    </row>
    <row r="7" customFormat="false" ht="15" hidden="false" customHeight="false" outlineLevel="0" collapsed="false">
      <c r="A7" s="4" t="s">
        <v>20</v>
      </c>
      <c r="B7" s="5" t="s">
        <v>21</v>
      </c>
      <c r="C7" s="6" t="n">
        <v>280000</v>
      </c>
      <c r="D7" s="6" t="n">
        <v>70000</v>
      </c>
      <c r="E7" s="7" t="n">
        <f aca="false">D7/C7</f>
        <v>0.25</v>
      </c>
      <c r="F7" s="6" t="n">
        <v>1800</v>
      </c>
      <c r="G7" s="6" t="n">
        <v>0</v>
      </c>
      <c r="H7" s="8" t="str">
        <f aca="false">IF(G7&gt;0,F7/G7,"n/a")</f>
        <v>n/a</v>
      </c>
      <c r="I7" s="6" t="n">
        <v>110000</v>
      </c>
      <c r="J7" s="8" t="n">
        <f aca="false">I7/D7</f>
        <v>1.57142857142857</v>
      </c>
      <c r="K7" s="6" t="n">
        <v>15000</v>
      </c>
      <c r="L7" s="6" t="n">
        <v>90000</v>
      </c>
      <c r="M7" s="7" t="n">
        <f aca="false">K7/L7</f>
        <v>0.166666666666667</v>
      </c>
      <c r="N7" s="9" t="s">
        <v>18</v>
      </c>
    </row>
    <row r="8" customFormat="false" ht="15" hidden="false" customHeight="false" outlineLevel="0" collapsed="false">
      <c r="A8" s="10" t="s">
        <v>22</v>
      </c>
      <c r="B8" s="11" t="s">
        <v>23</v>
      </c>
      <c r="C8" s="12" t="n">
        <v>150000</v>
      </c>
      <c r="D8" s="12" t="n">
        <v>65000</v>
      </c>
      <c r="E8" s="13" t="n">
        <f aca="false">D8/C8</f>
        <v>0.433333333333333</v>
      </c>
      <c r="F8" s="12" t="n">
        <v>1500</v>
      </c>
      <c r="G8" s="12" t="n">
        <v>700</v>
      </c>
      <c r="H8" s="14" t="n">
        <f aca="false">IF(G8&gt;0,F8/G8,"n/a")</f>
        <v>2.14285714285714</v>
      </c>
      <c r="I8" s="12" t="n">
        <v>20000</v>
      </c>
      <c r="J8" s="14" t="n">
        <f aca="false">I8/D8</f>
        <v>0.307692307692308</v>
      </c>
      <c r="K8" s="12" t="n">
        <v>18000</v>
      </c>
      <c r="L8" s="12" t="n">
        <v>200000</v>
      </c>
      <c r="M8" s="13" t="n">
        <f aca="false">K8/L8</f>
        <v>0.09</v>
      </c>
      <c r="N8" s="15" t="s">
        <v>18</v>
      </c>
    </row>
    <row r="9" customFormat="false" ht="15" hidden="false" customHeight="false" outlineLevel="0" collapsed="false">
      <c r="A9" s="4" t="s">
        <v>24</v>
      </c>
      <c r="B9" s="5" t="s">
        <v>25</v>
      </c>
      <c r="C9" s="6" t="n">
        <v>80000</v>
      </c>
      <c r="D9" s="6" t="n">
        <v>25000</v>
      </c>
      <c r="E9" s="7" t="n">
        <f aca="false">D9/C9</f>
        <v>0.3125</v>
      </c>
      <c r="F9" s="6" t="n">
        <v>3500</v>
      </c>
      <c r="G9" s="6" t="n">
        <v>1800</v>
      </c>
      <c r="H9" s="8" t="n">
        <f aca="false">IF(G9&gt;0,F9/G9,"n/a")</f>
        <v>1.94444444444444</v>
      </c>
      <c r="I9" s="6" t="n">
        <v>-5000</v>
      </c>
      <c r="J9" s="8" t="n">
        <f aca="false">I9/D9</f>
        <v>-0.2</v>
      </c>
      <c r="K9" s="6" t="n">
        <v>9000</v>
      </c>
      <c r="L9" s="6" t="n">
        <v>70000</v>
      </c>
      <c r="M9" s="7" t="n">
        <f aca="false">K9/L9</f>
        <v>0.128571428571429</v>
      </c>
      <c r="N9" s="9" t="s">
        <v>18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6" t="s">
        <v>26</v>
      </c>
      <c r="B1" s="16"/>
      <c r="C1" s="16"/>
      <c r="D1" s="16"/>
      <c r="E1" s="16"/>
      <c r="F1" s="16"/>
    </row>
    <row r="3" customFormat="false" ht="27.75" hidden="false" customHeight="true" outlineLevel="0" collapsed="false">
      <c r="A3" s="17" t="s">
        <v>2</v>
      </c>
      <c r="B3" s="17" t="s">
        <v>6</v>
      </c>
      <c r="C3" s="17" t="s">
        <v>11</v>
      </c>
      <c r="D3" s="17" t="s">
        <v>14</v>
      </c>
      <c r="E3" s="17" t="s">
        <v>9</v>
      </c>
      <c r="F3" s="17" t="s">
        <v>27</v>
      </c>
    </row>
    <row r="4" customFormat="false" ht="15" hidden="false" customHeight="false" outlineLevel="0" collapsed="false">
      <c r="A4" s="18" t="str">
        <f aca="false">'Peer Comparison'!A5</f>
        <v>Anglo American</v>
      </c>
      <c r="B4" s="19" t="n">
        <f aca="false">'Peer Comparison'!E5</f>
        <v>0.3</v>
      </c>
      <c r="C4" s="20" t="n">
        <f aca="false">'Peer Comparison'!J5</f>
        <v>0.5</v>
      </c>
      <c r="D4" s="19" t="n">
        <f aca="false">'Peer Comparison'!M5</f>
        <v>0.0857142857142857</v>
      </c>
      <c r="E4" s="20" t="n">
        <f aca="false">'Peer Comparison'!H5</f>
        <v>2.5</v>
      </c>
      <c r="F4" s="21" t="str">
        <f aca="false">IF('Peer Comparison'!J5&lt;=0,"Net cash",IF('Peer Comparison'!J5&lt;0.75,"Low",IF('Peer Comparison'!J5&lt;=1.5,"Moderate","High")))</f>
        <v>Low</v>
      </c>
    </row>
    <row r="5" customFormat="false" ht="15" hidden="false" customHeight="false" outlineLevel="0" collapsed="false">
      <c r="A5" s="18" t="str">
        <f aca="false">'Peer Comparison'!A6</f>
        <v>BHP</v>
      </c>
      <c r="B5" s="19" t="n">
        <f aca="false">'Peer Comparison'!E6</f>
        <v>0.5</v>
      </c>
      <c r="C5" s="20" t="n">
        <f aca="false">'Peer Comparison'!J6</f>
        <v>0.4</v>
      </c>
      <c r="D5" s="19" t="n">
        <f aca="false">'Peer Comparison'!M6</f>
        <v>0.088</v>
      </c>
      <c r="E5" s="20" t="n">
        <f aca="false">'Peer Comparison'!H6</f>
        <v>1.60714285714286</v>
      </c>
      <c r="F5" s="21" t="str">
        <f aca="false">IF('Peer Comparison'!J6&lt;=0,"Net cash",IF('Peer Comparison'!J6&lt;0.75,"Low",IF('Peer Comparison'!J6&lt;=1.5,"Moderate","High")))</f>
        <v>Low</v>
      </c>
    </row>
    <row r="6" customFormat="false" ht="15" hidden="false" customHeight="false" outlineLevel="0" collapsed="false">
      <c r="A6" s="18" t="str">
        <f aca="false">'Peer Comparison'!A7</f>
        <v>Sasol</v>
      </c>
      <c r="B6" s="19" t="n">
        <f aca="false">'Peer Comparison'!E7</f>
        <v>0.25</v>
      </c>
      <c r="C6" s="20" t="n">
        <f aca="false">'Peer Comparison'!J7</f>
        <v>1.57142857142857</v>
      </c>
      <c r="D6" s="19" t="n">
        <f aca="false">'Peer Comparison'!M7</f>
        <v>0.166666666666667</v>
      </c>
      <c r="E6" s="20" t="str">
        <f aca="false">'Peer Comparison'!H7</f>
        <v>n/a</v>
      </c>
      <c r="F6" s="21" t="str">
        <f aca="false">IF('Peer Comparison'!J7&lt;=0,"Net cash",IF('Peer Comparison'!J7&lt;0.75,"Low",IF('Peer Comparison'!J7&lt;=1.5,"Moderate","High")))</f>
        <v>High</v>
      </c>
    </row>
    <row r="7" customFormat="false" ht="15" hidden="false" customHeight="false" outlineLevel="0" collapsed="false">
      <c r="A7" s="18" t="str">
        <f aca="false">'Peer Comparison'!A8</f>
        <v>Gold Fields</v>
      </c>
      <c r="B7" s="19" t="n">
        <f aca="false">'Peer Comparison'!E8</f>
        <v>0.433333333333333</v>
      </c>
      <c r="C7" s="20" t="n">
        <f aca="false">'Peer Comparison'!J8</f>
        <v>0.307692307692308</v>
      </c>
      <c r="D7" s="19" t="n">
        <f aca="false">'Peer Comparison'!M8</f>
        <v>0.09</v>
      </c>
      <c r="E7" s="20" t="n">
        <f aca="false">'Peer Comparison'!H8</f>
        <v>2.14285714285714</v>
      </c>
      <c r="F7" s="21" t="str">
        <f aca="false">IF('Peer Comparison'!J8&lt;=0,"Net cash",IF('Peer Comparison'!J8&lt;0.75,"Low",IF('Peer Comparison'!J8&lt;=1.5,"Moderate","High")))</f>
        <v>Low</v>
      </c>
    </row>
    <row r="8" customFormat="false" ht="15" hidden="false" customHeight="false" outlineLevel="0" collapsed="false">
      <c r="A8" s="18" t="str">
        <f aca="false">'Peer Comparison'!A9</f>
        <v>Exxaro</v>
      </c>
      <c r="B8" s="19" t="n">
        <f aca="false">'Peer Comparison'!E9</f>
        <v>0.3125</v>
      </c>
      <c r="C8" s="20" t="n">
        <f aca="false">'Peer Comparison'!J9</f>
        <v>-0.2</v>
      </c>
      <c r="D8" s="19" t="n">
        <f aca="false">'Peer Comparison'!M9</f>
        <v>0.128571428571429</v>
      </c>
      <c r="E8" s="20" t="n">
        <f aca="false">'Peer Comparison'!H9</f>
        <v>1.94444444444444</v>
      </c>
      <c r="F8" s="21" t="str">
        <f aca="false">IF('Peer Comparison'!J9&lt;=0,"Net cash",IF('Peer Comparison'!J9&lt;0.75,"Low",IF('Peer Comparison'!J9&lt;=1.5,"Moderate","High")))</f>
        <v>Net cash</v>
      </c>
    </row>
    <row r="10" customFormat="false" ht="15" hidden="false" customHeight="false" outlineLevel="0" collapsed="false">
      <c r="A10" s="2" t="s">
        <v>28</v>
      </c>
      <c r="B10" s="2"/>
      <c r="C10" s="2"/>
      <c r="D10" s="2"/>
      <c r="E10" s="2"/>
      <c r="F10" s="2"/>
    </row>
  </sheetData>
  <mergeCells count="2">
    <mergeCell ref="A1:F1"/>
    <mergeCell ref="A10:F10"/>
  </mergeCells>
  <conditionalFormatting sqref="C4:C8">
    <cfRule type="cellIs" priority="2" operator="greaterThan" aboveAverage="0" equalAverage="0" bottom="0" percent="0" rank="0" text="" dxfId="0">
      <formula>1.5</formula>
    </cfRule>
    <cfRule type="cellIs" priority="3" operator="between" aboveAverage="0" equalAverage="0" bottom="0" percent="0" rank="0" text="" dxfId="1">
      <formula>0.75</formula>
      <formula>1.5</formula>
    </cfRule>
    <cfRule type="cellIs" priority="4" operator="lessThan" aboveAverage="0" equalAverage="0" bottom="0" percent="0" rank="0" text="" dxfId="2">
      <formula>0.75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2026-06-13T12:26:37Z</dcterms:created>
  <dc:creator>openpyxl</dc:creator>
  <dc:description/>
  <dc:language>en-US</dc:language>
  <cp:lastModifiedBy/>
  <dcterms:modified xsi:type="dcterms:W3CDTF">2026-06-13T12:26:37Z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