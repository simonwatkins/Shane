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Resilience Scorecard" sheetId="2" state="visible" r:id="rId4"/>
    <sheet name="Macro Deck" sheetId="3" state="visible" r:id="rId5"/>
    <sheet name="SHP Actuals" sheetId="4" state="visible" r:id="rId6"/>
    <sheet name="SPP Actuals" sheetId="5" state="visible" r:id="rId7"/>
    <sheet name="Assumptions" sheetId="6" state="visible" r:id="rId8"/>
    <sheet name="SHP Scenario Model" sheetId="7" state="visible" r:id="rId9"/>
    <sheet name="SPP Scenario Model"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<sst xmlns="http://schemas.openxmlformats.org/spreadsheetml/2006/main" count="252" uniqueCount="175">
  <si>
    <t xml:space="preserve">Shoprite (SHP) vs The SPAR Group (SPP) - Hormuz Scenario Model</t>
  </si>
  <si>
    <t xml:space="preserve">Investment Committee working model - internal research, for information only</t>
  </si>
  <si>
    <t xml:space="preserve">HOW TO USE THIS MODEL</t>
  </si>
  <si>
    <t xml:space="preserve">Change only the BLUE cells on the Assumptions tab. BLACK cells are formulas; GREEN cells link across sheets. Each scenario runs for two forward years against the FY anchor.</t>
  </si>
  <si>
    <t xml:space="preserve">Generated by tools/build_model.py from assumptions/&lt;slug&gt;.json + macro/latest.json. Do not hand-edit; re-run the generator.</t>
  </si>
  <si>
    <t xml:space="preserve">METHODOLOGY</t>
  </si>
  <si>
    <t xml:space="preserve">retail-owned: Sale of merchandise = prior x (1 + selling-price inflation + real volume/space). Trading profit = sales x trading margin. Earnings (e) = trading profit - net finance - tax, over a calibrated effective share count so the FY anchor HEPS ties to the reported figure.</t>
  </si>
  <si>
    <t xml:space="preserve">retail-wholesale: Turnover = prior x (1 + growth). Gross &amp; operating profit = turnover x margin. Continuing HEPS (e) is modelled directly off the actual prints (the reported bridge carries large extraordinary/discontinued items); net debt, leverage and finance costs are modelled explicitly because de-gearing is the equity thesis.</t>
  </si>
  <si>
    <t xml:space="preserve">FY ANCHORS (reported actuals - sacred)</t>
  </si>
  <si>
    <t xml:space="preserve">Shoprite Holdings Limited (SHP)  -  FY2025A</t>
  </si>
  <si>
    <t xml:space="preserve">Sale of merchandise (R'm)</t>
  </si>
  <si>
    <t xml:space="preserve">SH1 - Shoprite reviewed results, 52 weeks ended 29 June 2025 (FY2024 restated IFRS 5)</t>
  </si>
  <si>
    <t xml:space="preserve">Gross margin (%)</t>
  </si>
  <si>
    <t xml:space="preserve">Trading margin (%)</t>
  </si>
  <si>
    <t xml:space="preserve">Net finance costs (R'm)</t>
  </si>
  <si>
    <t xml:space="preserve">Diluted HEPS (continuing), c</t>
  </si>
  <si>
    <t xml:space="preserve">Effective diluted shares (m)</t>
  </si>
  <si>
    <t xml:space="preserve">Dividend cover (x)</t>
  </si>
  <si>
    <t xml:space="preserve">The SPAR Group Limited (SPP)  -  FY2025A</t>
  </si>
  <si>
    <t xml:space="preserve">Turnover (R'm)</t>
  </si>
  <si>
    <t xml:space="preserve">SP1 - SPAR audited results FY2025 (SENS 8 Dec 2025). H1 FY2026 actual continuing HEPS 199.9c, -55.5% (SP2, published 10 Jun 2026). net_finance_costs_rm is an analyst estimate (e).</t>
  </si>
  <si>
    <t xml:space="preserve">Operating margin ex-extra (%)</t>
  </si>
  <si>
    <t xml:space="preserve">Continuing HEPS, c</t>
  </si>
  <si>
    <t xml:space="preserve">Net debt (R'm)</t>
  </si>
  <si>
    <t xml:space="preserve">Net debt leverage (x)</t>
  </si>
  <si>
    <t xml:space="preserve">Shares in issue (m)</t>
  </si>
  <si>
    <t xml:space="preserve">DISCLAIMER</t>
  </si>
  <si>
    <t xml:space="preserve">Numbers are sacred: reported actuals are taken verbatim from the cited source; any figure that is an analyst calculation or projection is marked (e). For informational purposes only — not investment advice; prepared by internal research from public disclosures. Figures reported in ZAR unless stated. Reviewed vs audited status is noted per company. Forward figures and scenario levels are analyst estimates (e), not company guidance. Share/commodity prices via web search may be delayed — there is no live JSE feed here. Confirm the fund's dealing-period status before acting.</t>
  </si>
  <si>
    <t xml:space="preserve">RESILIENCE SCORECARD - who weathers financial uncertainty better?</t>
  </si>
  <si>
    <t xml:space="preserve">Score 1 (most fragile) to 5 (most resilient). Scored primarily for Scenario B (Strait shut) - the stress test. Analyst judgement.</t>
  </si>
  <si>
    <t xml:space="preserve">Dimension</t>
  </si>
  <si>
    <t xml:space="preserve">SHP</t>
  </si>
  <si>
    <t xml:space="preserve">SPP</t>
  </si>
  <si>
    <t xml:space="preserve">Why SHP</t>
  </si>
  <si>
    <t xml:space="preserve">Why SPP</t>
  </si>
  <si>
    <t xml:space="preserve">Balance sheet strength</t>
  </si>
  <si>
    <t xml:space="preserve">Net CASH R8.1bn; only ~US$7m USD debt. Can fund price cuts &amp; store growth through a downturn.</t>
  </si>
  <si>
    <t xml:space="preserve">Net DEBT R5.4bn at 1.74x; de-gearing IS the equity thesis and a high-rate path stalls it.</t>
  </si>
  <si>
    <t xml:space="preserve">Earnings momentum entering</t>
  </si>
  <si>
    <t xml:space="preserve">FY2025 HEPS +15.8%; H1 FY2026 +7.9% - growing into the shock.</t>
  </si>
  <si>
    <t xml:space="preserve">H1 FY2026 HEPS -55.5% (199.9c); already in acute distress before any oil shock.</t>
  </si>
  <si>
    <t xml:space="preserve">Margin level &amp; direction</t>
  </si>
  <si>
    <t xml:space="preserve">Trading margin 5.9% and expanding (+40bps); operating leverage intact.</t>
  </si>
  <si>
    <t xml:space="preserve">Operating margin halved to 1.1% at H1 (from 2.1%); thin and compressing.</t>
  </si>
  <si>
    <t xml:space="preserve">Model under consumer stress</t>
  </si>
  <si>
    <t xml:space="preserve">Mass-market VALUE leader (Shoprite, Usave) - the prime trade-down WINNER as shoppers downgrade.</t>
  </si>
  <si>
    <t xml:space="preserve">Mid-market franchise grocers LOSE share to value chains; trade-down flows away from SPAR.</t>
  </si>
  <si>
    <t xml:space="preserve">Distribution / fuel exposure</t>
  </si>
  <si>
    <t xml:space="preserve">Owned fleet; diesel only R335m in FY2025; scale &amp; efficiency cushion a fuel rise.</t>
  </si>
  <si>
    <t xml:space="preserve">Wholesale/distribution model - fuel is core cost-to-serve; KZN DC already wounded; flagged as H2 headwind.</t>
  </si>
  <si>
    <t xml:space="preserve">Counterparty / credit risk</t>
  </si>
  <si>
    <t xml:space="preserve">Largely cash-based retail; limited customer credit exposure.</t>
  </si>
  <si>
    <t xml:space="preserve">Finances independent retailers; debtor impairments already rising - a retailer-solvency cycle would bite.</t>
  </si>
  <si>
    <t xml:space="preserve">Rand / FX positioning</t>
  </si>
  <si>
    <t xml:space="preserve">~85% RSA, minimal FX - little translation upside in a weak-rand world.</t>
  </si>
  <si>
    <t xml:space="preserve">Ireland (BWG, EUR1.74bn) is a genuine rand hedge: weak rand flatters euro earnings (~270bps). SPP's one edge.</t>
  </si>
  <si>
    <t xml:space="preserve">Management / execution stability</t>
  </si>
  <si>
    <t xml:space="preserve">Stable, proven team; consistent share-gain track record.</t>
  </si>
  <si>
    <t xml:space="preserve">Entire C-suite new since 1 Mar 2026; KZN + SAP execution risk; 61% pay revolt.</t>
  </si>
  <si>
    <t xml:space="preserve">Dividend resilience</t>
  </si>
  <si>
    <t xml:space="preserve">781c (+9.7%) at 1.75x cover; sustainable through the cycle.</t>
  </si>
  <si>
    <t xml:space="preserve">Nil for two straight years; no timeline; FY2026 setback pushes resumption further out.</t>
  </si>
  <si>
    <t xml:space="preserve">Valuation cushion</t>
  </si>
  <si>
    <t xml:space="preserve">Premium ~20x / 2.79% yield - quality, but vulnerable to de-rating if growth stalls.</t>
  </si>
  <si>
    <t xml:space="preserve">Cheap (~R60-65, -30% in 90d) but a value-trap risk until the turnaround proves out.</t>
  </si>
  <si>
    <t xml:space="preserve">AVERAGE SCORE</t>
  </si>
  <si>
    <t xml:space="preserve">Shoprite scores higher on every structural axis except FX.</t>
  </si>
  <si>
    <t xml:space="preserve">SPAR's only relative edge is the euro (Ireland) rand hedge.</t>
  </si>
  <si>
    <t xml:space="preserve">VERDICT</t>
  </si>
  <si>
    <t xml:space="preserve">Yes - Shoprite is clearly better positioned than The SPAR Group to weather financial uncertainty, in BOTH scenarios. In Scenario A (Strait open) both improve: Shoprite is a steady compounder that may modestly LAG a cyclical relief rally, while SPAR - geared and distressed - has the higher upside torque IF its self-help (KZN, SAP, cost, retailer loyalty) delivers; that is a higher-risk recovery bet, not resilience. In Scenario B (Strait shut) the gap is widest: Shoprite is a defensive OUTPERFORMER (non-discretionary food, value/trade-down leader, net cash funds a price war), whereas the same oil shock stacks rising rates, a stalled de-gearing, a higher legacy-debt drag, fuel pressure on a distribution-heavy cost base, trade-down OUT of its independents and rising retailer/debtor risk on top of an already-halved margin and a suspended dividend. Own Shoprite for resilience; SPAR is a leveraged recovery option that needs BOTH the macro (A) and execution to go right.</t>
  </si>
  <si>
    <t xml:space="preserve">MACRO DECK - Strait of Hormuz, oil, rand, rates &amp; fuel  (as at 2026-06-17)</t>
  </si>
  <si>
    <t xml:space="preserve">Shared scenario context. Levels via web search 17 Jun 2026; may be delayed/secondary. Updated once per run by the analyst, read by both build_model.py and build_note.py.</t>
  </si>
  <si>
    <t xml:space="preserve">STRAIT OF HORMUZ</t>
  </si>
  <si>
    <t xml:space="preserve">Status (17 Jun 2026)</t>
  </si>
  <si>
    <t xml:space="preserve">Closed - day ~108</t>
  </si>
  <si>
    <t xml:space="preserve">straits.live / NBC tracker</t>
  </si>
  <si>
    <t xml:space="preserve">Normal vs current transits</t>
  </si>
  <si>
    <t xml:space="preserve">~94/day -&gt; ~0/day</t>
  </si>
  <si>
    <t xml:space="preserve">Only ~7 ships since reopening deal; NBC / MarineTraffic</t>
  </si>
  <si>
    <t xml:space="preserve">Diplomatic track</t>
  </si>
  <si>
    <t xml:space="preserve">US &amp; Iran committed to reopen</t>
  </si>
  <si>
    <t xml:space="preserve">Bloomberg, 16 Jun 2026</t>
  </si>
  <si>
    <t xml:space="preserve">Frictions to reopening</t>
  </si>
  <si>
    <t xml:space="preserve">~550 ships stranded; mines; war-risk premium ~2.5% hull</t>
  </si>
  <si>
    <t xml:space="preserve">Bloomberg / Al Jazeera, 16-17 Jun 2026</t>
  </si>
  <si>
    <t xml:space="preserve">BRENT CRUDE (US$/bbl)</t>
  </si>
  <si>
    <t xml:space="preserve">March 2026 peak</t>
  </si>
  <si>
    <t xml:space="preserve">$110+</t>
  </si>
  <si>
    <t xml:space="preserve">Companion note</t>
  </si>
  <si>
    <t xml:space="preserve">1 June 2026</t>
  </si>
  <si>
    <t xml:space="preserve">$96.42</t>
  </si>
  <si>
    <t xml:space="preserve">Fortune</t>
  </si>
  <si>
    <t xml:space="preserve">17 June 2026 (spot)</t>
  </si>
  <si>
    <t xml:space="preserve">~$79-81</t>
  </si>
  <si>
    <t xml:space="preserve">TradingEconomics / Fortune (reopening priced in)</t>
  </si>
  <si>
    <t xml:space="preserve">EIA STEO 2026 / 2027 avg</t>
  </si>
  <si>
    <t xml:space="preserve">$95 / $79</t>
  </si>
  <si>
    <t xml:space="preserve">EIA STEO, 9 Jun 2026</t>
  </si>
  <si>
    <t xml:space="preserve">SOUTH AFRICA - RAND, RATES, FUEL</t>
  </si>
  <si>
    <t xml:space="preserve">USD/ZAR (mid-June)</t>
  </si>
  <si>
    <t xml:space="preserve">~16.3</t>
  </si>
  <si>
    <t xml:space="preserve">TradingEconomics / FocusEconomics</t>
  </si>
  <si>
    <t xml:space="preserve">SARB repo rate</t>
  </si>
  <si>
    <t xml:space="preserve">7.00% (hiked 25bp 28 May 2026)</t>
  </si>
  <si>
    <t xml:space="preserve">First hike in 3 years; oil-shock driven</t>
  </si>
  <si>
    <t xml:space="preserve">SARB scenario paths (end-2026)</t>
  </si>
  <si>
    <t xml:space="preserve">~6.67% intermediate / ~8.17% severe</t>
  </si>
  <si>
    <t xml:space="preserve">SARB / BusinessTech</t>
  </si>
  <si>
    <t xml:space="preserve">Petrol 95 inland (Jun 2026)</t>
  </si>
  <si>
    <t xml:space="preserve">Record R28.06/l</t>
  </si>
  <si>
    <t xml:space="preserve">Incl. fuel-levy relief cut; IOL / gov.za</t>
  </si>
  <si>
    <t xml:space="preserve">Diesel (Jun 2026)</t>
  </si>
  <si>
    <t xml:space="preserve">~R27.92-28.76</t>
  </si>
  <si>
    <t xml:space="preserve">Levy/slate timing - distribution hit is back-loaded</t>
  </si>
  <si>
    <t xml:space="preserve">Why it matters: Petrol = the consumer's wallet (both retailers); diesel = each group's own distribution cost. SPAR is a wholesale-distribution business, so fuel is a larger share of its cost-to-serve; it flagged 'rising fuel costs (logistics/distribution)' as an H2 FY2026 headwind. A sustained closure reverses the diesel tailwind with a lag and lifts finance costs via the SARB - hurting SPAR's net-debt position more than SHP's net-cash one.</t>
  </si>
  <si>
    <t xml:space="preserve">Shoprite Holdings Limited - FY ANCHOR (reported actuals)</t>
  </si>
  <si>
    <t xml:space="preserve">SACRED - do not edit. Source on Cover. Drives the scenario model.</t>
  </si>
  <si>
    <t xml:space="preserve">Metric</t>
  </si>
  <si>
    <t xml:space="preserve">FY2025A</t>
  </si>
  <si>
    <t xml:space="preserve">Note</t>
  </si>
  <si>
    <t xml:space="preserve">The SPAR Group Limited - FY ANCHOR (reported actuals)</t>
  </si>
  <si>
    <t xml:space="preserve">SCENARIO ASSUMPTIONS</t>
  </si>
  <si>
    <t xml:space="preserve">BLUE = input you can change. Forward figures are analyst estimates (e); macro levels are assumptions, not forecasts.</t>
  </si>
  <si>
    <t xml:space="preserve">SHARED MACRO (analyst scenario assumptions - see Macro Deck)</t>
  </si>
  <si>
    <t xml:space="preserve">A 2026e</t>
  </si>
  <si>
    <t xml:space="preserve">A 2027e</t>
  </si>
  <si>
    <t xml:space="preserve">Base 2026e</t>
  </si>
  <si>
    <t xml:space="preserve">Base 2027e</t>
  </si>
  <si>
    <t xml:space="preserve">B 2026e</t>
  </si>
  <si>
    <t xml:space="preserve">B 2027e</t>
  </si>
  <si>
    <t xml:space="preserve">Brent crude (US$/bbl, period avg)</t>
  </si>
  <si>
    <t xml:space="preserve">USD/ZAR (period avg)</t>
  </si>
  <si>
    <t xml:space="preserve">SARB repo rate (%, period end)</t>
  </si>
  <si>
    <t xml:space="preserve">Inland 95 petrol (R/l, period end)</t>
  </si>
  <si>
    <t xml:space="preserve">Shoprite Holdings Limited (SHP) - drivers</t>
  </si>
  <si>
    <t xml:space="preserve">Internal selling-price inflation (%)</t>
  </si>
  <si>
    <t xml:space="preserve">Real volume + space growth (%)</t>
  </si>
  <si>
    <t xml:space="preserve">Effective tax rate (%)</t>
  </si>
  <si>
    <t xml:space="preserve">Group rev / sale-of-merch ratio (x)</t>
  </si>
  <si>
    <t xml:space="preserve">Scenario A (Strait open): Brent ~$70-80, pump prices ease, food inflation low, SARB resumes cutting, rand firms. Shoprite's tailwind case - lower diesel/finance costs, volume recovery, room to ease price investment; HEPS re-accelerates toward low-teens, but the share can lag a cyclical relief rally. Scenario B (Strait shut): Brent ~$95-110+, pump at/above record, rand weak, SARB tightens (~8.17% severe path). Tougher business - diesel tailwind reverses with a lag, finance costs climb, volumes soften, margin pressured; HEPS decelerates to mid/high-single-digit. But this is its relative-strength case: non-discretionary food, value leader, prime trade-down beneficiary, net cash funds price cuts.</t>
  </si>
  <si>
    <t xml:space="preserve">The SPAR Group Limited (SPP) - drivers</t>
  </si>
  <si>
    <t xml:space="preserve">Turnover growth (%)</t>
  </si>
  <si>
    <t xml:space="preserve">Operating margin, ex-extraordinary (%)</t>
  </si>
  <si>
    <t xml:space="preserve">Net finance costs (R'm) (e)</t>
  </si>
  <si>
    <t xml:space="preserve">Continuing HEPS (e), cents - anchored on actuals</t>
  </si>
  <si>
    <t xml:space="preserve">DPS (e), cents</t>
  </si>
  <si>
    <t xml:space="preserve">Shares in issue (m) - calibrated (e)</t>
  </si>
  <si>
    <t xml:space="preserve">Continuing HEPS is modelled directly off the two ACTUAL prints (FY2025 795.8c; H1 FY2026 199.9c) because SPAR's reported bridge carries large extraordinary/discontinued items. In every scenario FY2026 HEPS sits far below FY2025. Scenario A = de-gearing resumes (lower rates), fuel relief, consumer recovery + self-help (KZN/SAP/cost) lift margin and HEPS - a higher-beta recovery bet, not safety. Scenario B = higher rates stall de-gearing and lift the legacy ZAR-debt drag, fuel hits the distribution-heavy cost base and the wounded KZN DC, trade-down flows OUT of SPAR independents, dividend stays nil.</t>
  </si>
  <si>
    <t xml:space="preserve">Shoprite Holdings Limited - SCENARIO MODEL</t>
  </si>
  <si>
    <t xml:space="preserve">BLACK = formula; GREEN = link to Assumptions. (e) = analyst estimate. FY anchor reproduces reported actuals.</t>
  </si>
  <si>
    <t xml:space="preserve">R'm unless stated</t>
  </si>
  <si>
    <t xml:space="preserve">Sale of merchandise</t>
  </si>
  <si>
    <t xml:space="preserve">Group revenue (e)</t>
  </si>
  <si>
    <t xml:space="preserve">Gross profit</t>
  </si>
  <si>
    <t xml:space="preserve">  Gross margin (%)</t>
  </si>
  <si>
    <t xml:space="preserve">Trading profit</t>
  </si>
  <si>
    <t xml:space="preserve">  Trading margin (%)</t>
  </si>
  <si>
    <t xml:space="preserve">less: Net finance costs</t>
  </si>
  <si>
    <t xml:space="preserve">Profit before tax - proxy (e)</t>
  </si>
  <si>
    <t xml:space="preserve">less: Tax (e)</t>
  </si>
  <si>
    <t xml:space="preserve">Earnings - proxy (e)</t>
  </si>
  <si>
    <t xml:space="preserve">Diluted HEPS - proxy (e), cents</t>
  </si>
  <si>
    <t xml:space="preserve">  HEPS growth (%)</t>
  </si>
  <si>
    <t xml:space="preserve">-</t>
  </si>
  <si>
    <t xml:space="preserve">DPS - total (e), cents</t>
  </si>
  <si>
    <t xml:space="preserve">The SPAR Group Limited - SCENARIO MODEL</t>
  </si>
  <si>
    <t xml:space="preserve">Turnover (continuing)</t>
  </si>
  <si>
    <t xml:space="preserve">  Turnover growth (%)</t>
  </si>
  <si>
    <t xml:space="preserve">Operating profit (ex-extraordinary)</t>
  </si>
  <si>
    <t xml:space="preserve">  Operating margin (%)</t>
  </si>
  <si>
    <t xml:space="preserve">less: Net finance costs (e)</t>
  </si>
  <si>
    <t xml:space="preserve">Continuing HEPS (e), cents</t>
  </si>
  <si>
    <t xml:space="preserve">  Implied cont. headline earnings (memo)</t>
  </si>
  <si>
    <t xml:space="preserve">Net debt</t>
  </si>
  <si>
    <t xml:space="preserve">  Net debt leverage (x)</t>
  </si>
</sst>
</file>

<file path=xl/styles.xml><?xml version="1.0" encoding="utf-8"?>
<styleSheet xmlns="http://schemas.openxmlformats.org/spreadsheetml/2006/main">
  <numFmts count="8">
    <numFmt numFmtId="164" formatCode="General"/>
    <numFmt numFmtId="165" formatCode="#,##0"/>
    <numFmt numFmtId="166" formatCode="0.0%"/>
    <numFmt numFmtId="167" formatCode="#,##0.0"/>
    <numFmt numFmtId="168" formatCode="0.00\x"/>
    <numFmt numFmtId="169" formatCode="0.0"/>
    <numFmt numFmtId="170" formatCode="0.00%"/>
    <numFmt numFmtId="171" formatCode="0.0000"/>
  </numFmts>
  <fonts count="23">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FFFFFF"/>
      <name val="Arial"/>
      <family val="0"/>
      <charset val="1"/>
    </font>
    <font>
      <b val="true"/>
      <sz val="11"/>
      <color rgb="FF1F3864"/>
      <name val="Arial"/>
      <family val="0"/>
      <charset val="1"/>
    </font>
    <font>
      <sz val="9"/>
      <color rgb="FF000000"/>
      <name val="Arial"/>
      <family val="0"/>
      <charset val="1"/>
    </font>
    <font>
      <b val="true"/>
      <sz val="10"/>
      <color rgb="FFFFFFFF"/>
      <name val="Arial"/>
      <family val="0"/>
      <charset val="1"/>
    </font>
    <font>
      <b val="true"/>
      <sz val="9"/>
      <color rgb="FF000000"/>
      <name val="Arial"/>
      <family val="0"/>
      <charset val="1"/>
    </font>
    <font>
      <i val="true"/>
      <sz val="8"/>
      <color rgb="FF000000"/>
      <name val="Arial"/>
      <family val="0"/>
      <charset val="1"/>
    </font>
    <font>
      <b val="true"/>
      <sz val="11"/>
      <color rgb="FFFFFFFF"/>
      <name val="Arial"/>
      <family val="0"/>
      <charset val="1"/>
    </font>
    <font>
      <sz val="8"/>
      <color rgb="FF000000"/>
      <name val="Arial"/>
      <family val="0"/>
      <charset val="1"/>
    </font>
    <font>
      <b val="true"/>
      <sz val="12"/>
      <color rgb="FFFFFFFF"/>
      <name val="Arial"/>
      <family val="0"/>
      <charset val="1"/>
    </font>
    <font>
      <i val="true"/>
      <sz val="9"/>
      <color rgb="FF000000"/>
      <name val="Arial"/>
      <family val="0"/>
      <charset val="1"/>
    </font>
    <font>
      <sz val="10"/>
      <color rgb="FF000000"/>
      <name val="Arial"/>
      <family val="0"/>
      <charset val="1"/>
    </font>
    <font>
      <b val="true"/>
      <sz val="9"/>
      <color rgb="FFFFFFFF"/>
      <name val="Arial"/>
      <family val="0"/>
      <charset val="1"/>
    </font>
    <font>
      <sz val="9"/>
      <color rgb="FF0000FF"/>
      <name val="Arial"/>
      <family val="0"/>
      <charset val="1"/>
    </font>
    <font>
      <sz val="9"/>
      <color rgb="FF008000"/>
      <name val="Arial"/>
      <family val="0"/>
      <charset val="1"/>
    </font>
    <font>
      <b val="true"/>
      <sz val="10"/>
      <color rgb="FF000000"/>
      <name val="Arial"/>
      <family val="0"/>
      <charset val="1"/>
    </font>
    <font>
      <i val="true"/>
      <sz val="8"/>
      <color rgb="FF008000"/>
      <name val="Arial"/>
      <family val="0"/>
      <charset val="1"/>
    </font>
    <font>
      <b val="true"/>
      <sz val="10"/>
      <color rgb="FF008000"/>
      <name val="Arial"/>
      <family val="0"/>
      <charset val="1"/>
    </font>
    <font>
      <b val="true"/>
      <sz val="9"/>
      <color rgb="FF008000"/>
      <name val="Arial"/>
      <family val="0"/>
      <charset val="1"/>
    </font>
  </fonts>
  <fills count="10">
    <fill>
      <patternFill patternType="none"/>
    </fill>
    <fill>
      <patternFill patternType="gray125"/>
    </fill>
    <fill>
      <patternFill patternType="solid">
        <fgColor rgb="FF1F3864"/>
        <bgColor rgb="FF2E5496"/>
      </patternFill>
    </fill>
    <fill>
      <patternFill patternType="solid">
        <fgColor rgb="FF2E5496"/>
        <bgColor rgb="FF1F3864"/>
      </patternFill>
    </fill>
    <fill>
      <patternFill patternType="solid">
        <fgColor rgb="FFF2F2F2"/>
        <bgColor rgb="FFFFF7E0"/>
      </patternFill>
    </fill>
    <fill>
      <patternFill patternType="solid">
        <fgColor rgb="FF375623"/>
        <bgColor rgb="FF333300"/>
      </patternFill>
    </fill>
    <fill>
      <patternFill patternType="solid">
        <fgColor rgb="FFC00000"/>
        <bgColor rgb="FF800000"/>
      </patternFill>
    </fill>
    <fill>
      <patternFill patternType="solid">
        <fgColor rgb="FFBF8F00"/>
        <bgColor rgb="FF808000"/>
      </patternFill>
    </fill>
    <fill>
      <patternFill patternType="solid">
        <fgColor rgb="FFFFF7E0"/>
        <bgColor rgb="FFF2F2F2"/>
      </patternFill>
    </fill>
    <fill>
      <patternFill patternType="solid">
        <fgColor rgb="FFD9D9D9"/>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false" indent="0" shrinkToFit="false"/>
      <protection locked="true" hidden="false"/>
    </xf>
    <xf numFmtId="164" fontId="5" fillId="3" borderId="0" xfId="0" applyFont="true" applyBorder="true" applyAlignment="true" applyProtection="true">
      <alignment horizontal="left" vertical="center" textRotation="0" wrapText="false" indent="0" shrinkToFit="false"/>
      <protection locked="true" hidden="false"/>
    </xf>
    <xf numFmtId="164" fontId="6" fillId="0" borderId="0" xfId="0" applyFont="true" applyBorder="true" applyAlignment="true" applyProtection="true">
      <alignment horizontal="left" vertical="center" textRotation="0" wrapText="false" indent="0" shrinkToFit="false"/>
      <protection locked="true" hidden="false"/>
    </xf>
    <xf numFmtId="164" fontId="7" fillId="0" borderId="0" xfId="0" applyFont="true" applyBorder="true" applyAlignment="true" applyProtection="true">
      <alignment horizontal="left" vertical="center" textRotation="0" wrapText="tru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8" fillId="3" borderId="0" xfId="0" applyFont="true" applyBorder="true" applyAlignment="true" applyProtection="true">
      <alignment horizontal="left" vertical="center" textRotation="0" wrapText="false" indent="0" shrinkToFit="false"/>
      <protection locked="true" hidden="false"/>
    </xf>
    <xf numFmtId="164" fontId="9" fillId="4" borderId="1" xfId="0" applyFont="true" applyBorder="true" applyAlignment="true" applyProtection="true">
      <alignment horizontal="left" vertical="center" textRotation="0" wrapText="false" indent="0" shrinkToFit="false"/>
      <protection locked="true" hidden="false"/>
    </xf>
    <xf numFmtId="165" fontId="7" fillId="0" borderId="1" xfId="0" applyFont="true" applyBorder="true" applyAlignment="true" applyProtection="true">
      <alignment horizontal="center" vertical="center" textRotation="0" wrapText="false" indent="0" shrinkToFit="false"/>
      <protection locked="true" hidden="false"/>
    </xf>
    <xf numFmtId="164" fontId="10" fillId="0" borderId="1" xfId="0" applyFont="true" applyBorder="true" applyAlignment="true" applyProtection="true">
      <alignment horizontal="left" vertical="center" textRotation="0" wrapText="true" indent="0" shrinkToFit="false"/>
      <protection locked="true" hidden="false"/>
    </xf>
    <xf numFmtId="166" fontId="7" fillId="0" borderId="1" xfId="0" applyFont="true" applyBorder="true" applyAlignment="true" applyProtection="true">
      <alignment horizontal="center" vertical="center" textRotation="0" wrapText="false" indent="0" shrinkToFit="false"/>
      <protection locked="true" hidden="false"/>
    </xf>
    <xf numFmtId="167" fontId="7" fillId="0" borderId="1" xfId="0" applyFont="true" applyBorder="true" applyAlignment="true" applyProtection="true">
      <alignment horizontal="center" vertical="center" textRotation="0" wrapText="false" indent="0" shrinkToFit="false"/>
      <protection locked="true" hidden="false"/>
    </xf>
    <xf numFmtId="168" fontId="7" fillId="0" borderId="1" xfId="0" applyFont="true" applyBorder="true" applyAlignment="true" applyProtection="true">
      <alignment horizontal="center" vertical="center" textRotation="0" wrapText="false" indent="0" shrinkToFit="false"/>
      <protection locked="true" hidden="false"/>
    </xf>
    <xf numFmtId="164" fontId="8" fillId="5" borderId="0" xfId="0" applyFont="true" applyBorder="true" applyAlignment="true" applyProtection="true">
      <alignment horizontal="left" vertical="center" textRotation="0" wrapText="false" indent="0" shrinkToFit="false"/>
      <protection locked="true" hidden="false"/>
    </xf>
    <xf numFmtId="164" fontId="10" fillId="0" borderId="0" xfId="0" applyFont="true" applyBorder="true" applyAlignment="true" applyProtection="true">
      <alignment horizontal="left" vertical="center" textRotation="0" wrapText="true" indent="0" shrinkToFit="false"/>
      <protection locked="true" hidden="false"/>
    </xf>
    <xf numFmtId="164" fontId="8" fillId="2" borderId="1" xfId="0" applyFont="true" applyBorder="true" applyAlignment="true" applyProtection="true">
      <alignment horizontal="center" vertical="center" textRotation="0" wrapText="true" indent="0" shrinkToFit="false"/>
      <protection locked="true" hidden="false"/>
    </xf>
    <xf numFmtId="164" fontId="8" fillId="3" borderId="1" xfId="0" applyFont="true" applyBorder="true" applyAlignment="true" applyProtection="true">
      <alignment horizontal="center" vertical="center" textRotation="0" wrapText="true" indent="0" shrinkToFit="false"/>
      <protection locked="true" hidden="false"/>
    </xf>
    <xf numFmtId="164" fontId="8" fillId="5" borderId="1" xfId="0" applyFont="true" applyBorder="true" applyAlignment="true" applyProtection="true">
      <alignment horizontal="center" vertical="center" textRotation="0" wrapText="true" indent="0" shrinkToFit="false"/>
      <protection locked="true" hidden="false"/>
    </xf>
    <xf numFmtId="164" fontId="9" fillId="4" borderId="1" xfId="0" applyFont="true" applyBorder="true" applyAlignment="true" applyProtection="true">
      <alignment horizontal="left" vertical="center" textRotation="0" wrapText="true" indent="0" shrinkToFit="false"/>
      <protection locked="true" hidden="false"/>
    </xf>
    <xf numFmtId="164" fontId="11" fillId="5" borderId="1" xfId="0" applyFont="true" applyBorder="true" applyAlignment="true" applyProtection="true">
      <alignment horizontal="center" vertical="center" textRotation="0" wrapText="false" indent="0" shrinkToFit="false"/>
      <protection locked="true" hidden="false"/>
    </xf>
    <xf numFmtId="164" fontId="11" fillId="6" borderId="1" xfId="0" applyFont="true" applyBorder="true" applyAlignment="true" applyProtection="true">
      <alignment horizontal="center" vertical="center" textRotation="0" wrapText="false" indent="0" shrinkToFit="false"/>
      <protection locked="true" hidden="false"/>
    </xf>
    <xf numFmtId="164" fontId="12" fillId="0" borderId="1" xfId="0" applyFont="true" applyBorder="true" applyAlignment="true" applyProtection="true">
      <alignment horizontal="left" vertical="center" textRotation="0" wrapText="true" indent="0" shrinkToFit="false"/>
      <protection locked="true" hidden="false"/>
    </xf>
    <xf numFmtId="164" fontId="11" fillId="7" borderId="1" xfId="0" applyFont="true" applyBorder="true" applyAlignment="true" applyProtection="true">
      <alignment horizontal="center" vertical="center" textRotation="0" wrapText="false" indent="0" shrinkToFit="false"/>
      <protection locked="true" hidden="false"/>
    </xf>
    <xf numFmtId="164" fontId="8" fillId="2" borderId="1" xfId="0" applyFont="true" applyBorder="true" applyAlignment="true" applyProtection="true">
      <alignment horizontal="left" vertical="center" textRotation="0" wrapText="false" indent="0" shrinkToFit="false"/>
      <protection locked="true" hidden="false"/>
    </xf>
    <xf numFmtId="169" fontId="13" fillId="3" borderId="1" xfId="0" applyFont="true" applyBorder="true" applyAlignment="true" applyProtection="true">
      <alignment horizontal="center" vertical="center" textRotation="0" wrapText="false" indent="0" shrinkToFit="false"/>
      <protection locked="true" hidden="false"/>
    </xf>
    <xf numFmtId="169" fontId="13" fillId="5" borderId="1" xfId="0" applyFont="true" applyBorder="true" applyAlignment="true" applyProtection="true">
      <alignment horizontal="center" vertical="center" textRotation="0" wrapText="false" indent="0" shrinkToFit="false"/>
      <protection locked="true" hidden="false"/>
    </xf>
    <xf numFmtId="164" fontId="14" fillId="0" borderId="1" xfId="0" applyFont="true" applyBorder="true" applyAlignment="true" applyProtection="true">
      <alignment horizontal="left" vertical="center" textRotation="0" wrapText="true" indent="0" shrinkToFit="false"/>
      <protection locked="true" hidden="false"/>
    </xf>
    <xf numFmtId="164" fontId="13" fillId="2" borderId="0" xfId="0" applyFont="true" applyBorder="true" applyAlignment="true" applyProtection="true">
      <alignment horizontal="left" vertical="center" textRotation="0" wrapText="false" indent="0" shrinkToFit="false"/>
      <protection locked="true" hidden="false"/>
    </xf>
    <xf numFmtId="164" fontId="15" fillId="8" borderId="1" xfId="0" applyFont="true" applyBorder="true" applyAlignment="true" applyProtection="true">
      <alignment horizontal="left" vertical="center" textRotation="0" wrapText="true" indent="0" shrinkToFit="false"/>
      <protection locked="true" hidden="false"/>
    </xf>
    <xf numFmtId="164" fontId="11" fillId="3" borderId="0" xfId="0" applyFont="true" applyBorder="true" applyAlignment="true" applyProtection="true">
      <alignment horizontal="left" vertical="center" textRotation="0" wrapText="false" indent="0" shrinkToFit="false"/>
      <protection locked="true" hidden="false"/>
    </xf>
    <xf numFmtId="164" fontId="7" fillId="0" borderId="1" xfId="0" applyFont="true" applyBorder="true" applyAlignment="true" applyProtection="true">
      <alignment horizontal="left" vertical="center" textRotation="0" wrapText="false" indent="0" shrinkToFit="false"/>
      <protection locked="true" hidden="false"/>
    </xf>
    <xf numFmtId="164" fontId="14" fillId="0" borderId="1" xfId="0" applyFont="true" applyBorder="true" applyAlignment="true" applyProtection="true">
      <alignment horizontal="left" vertical="center" textRotation="0" wrapText="false" indent="0" shrinkToFit="false"/>
      <protection locked="true" hidden="false"/>
    </xf>
    <xf numFmtId="164" fontId="10" fillId="8" borderId="0" xfId="0" applyFont="true" applyBorder="true" applyAlignment="true" applyProtection="true">
      <alignment horizontal="left" vertical="center" textRotation="0" wrapText="true" indent="0" shrinkToFit="false"/>
      <protection locked="true" hidden="false"/>
    </xf>
    <xf numFmtId="164" fontId="8" fillId="3" borderId="1" xfId="0" applyFont="true" applyBorder="true" applyAlignment="true" applyProtection="true">
      <alignment horizontal="left" vertical="center" textRotation="0" wrapText="false" indent="0" shrinkToFit="false"/>
      <protection locked="true" hidden="false"/>
    </xf>
    <xf numFmtId="164" fontId="8" fillId="3" borderId="1" xfId="0" applyFont="true" applyBorder="true" applyAlignment="true" applyProtection="true">
      <alignment horizontal="center" vertical="center" textRotation="0" wrapText="false" indent="0" shrinkToFit="false"/>
      <protection locked="true" hidden="false"/>
    </xf>
    <xf numFmtId="164" fontId="10" fillId="0" borderId="1" xfId="0" applyFont="true" applyBorder="true" applyAlignment="true" applyProtection="true">
      <alignment horizontal="left" vertical="center" textRotation="0" wrapText="false" indent="0" shrinkToFit="false"/>
      <protection locked="true" hidden="false"/>
    </xf>
    <xf numFmtId="164" fontId="8" fillId="5" borderId="1" xfId="0" applyFont="true" applyBorder="true" applyAlignment="true" applyProtection="true">
      <alignment horizontal="left" vertical="center" textRotation="0" wrapText="false" indent="0" shrinkToFit="false"/>
      <protection locked="true" hidden="false"/>
    </xf>
    <xf numFmtId="164" fontId="8" fillId="5" borderId="1" xfId="0" applyFont="true" applyBorder="true" applyAlignment="true" applyProtection="true">
      <alignment horizontal="center" vertical="center" textRotation="0" wrapText="false" indent="0" shrinkToFit="false"/>
      <protection locked="true" hidden="false"/>
    </xf>
    <xf numFmtId="164" fontId="11" fillId="2" borderId="0" xfId="0" applyFont="true" applyBorder="false" applyAlignment="true" applyProtection="true">
      <alignment horizontal="left" vertical="center" textRotation="0" wrapText="false" indent="0" shrinkToFit="false"/>
      <protection locked="true" hidden="false"/>
    </xf>
    <xf numFmtId="164" fontId="15" fillId="0" borderId="1" xfId="0" applyFont="true" applyBorder="true" applyAlignment="true" applyProtection="true">
      <alignment horizontal="left" vertical="center" textRotation="0" wrapText="false" indent="0" shrinkToFit="false"/>
      <protection locked="true" hidden="false"/>
    </xf>
    <xf numFmtId="164" fontId="16" fillId="9" borderId="1" xfId="0" applyFont="true" applyBorder="true" applyAlignment="true" applyProtection="true">
      <alignment horizontal="center" vertical="center" textRotation="0" wrapText="false" indent="0" shrinkToFit="false"/>
      <protection locked="true" hidden="false"/>
    </xf>
    <xf numFmtId="164" fontId="16" fillId="3" borderId="1" xfId="0" applyFont="true" applyBorder="true" applyAlignment="true" applyProtection="true">
      <alignment horizontal="center" vertical="center" textRotation="0" wrapText="true" indent="0" shrinkToFit="false"/>
      <protection locked="true" hidden="false"/>
    </xf>
    <xf numFmtId="164" fontId="16" fillId="6" borderId="1" xfId="0" applyFont="true" applyBorder="true" applyAlignment="true" applyProtection="true">
      <alignment horizontal="center" vertical="center" textRotation="0" wrapText="true" indent="0" shrinkToFit="false"/>
      <protection locked="true" hidden="false"/>
    </xf>
    <xf numFmtId="165" fontId="17" fillId="0" borderId="1" xfId="0" applyFont="true" applyBorder="true" applyAlignment="true" applyProtection="true">
      <alignment horizontal="center" vertical="center" textRotation="0" wrapText="false" indent="0" shrinkToFit="false"/>
      <protection locked="true" hidden="false"/>
    </xf>
    <xf numFmtId="167" fontId="17" fillId="0" borderId="1" xfId="0" applyFont="true" applyBorder="true" applyAlignment="true" applyProtection="true">
      <alignment horizontal="center" vertical="center" textRotation="0" wrapText="false" indent="0" shrinkToFit="false"/>
      <protection locked="true" hidden="false"/>
    </xf>
    <xf numFmtId="170" fontId="17" fillId="0" borderId="1" xfId="0" applyFont="true" applyBorder="true" applyAlignment="true" applyProtection="true">
      <alignment horizontal="center" vertical="center" textRotation="0" wrapText="false" indent="0" shrinkToFit="false"/>
      <protection locked="true" hidden="false"/>
    </xf>
    <xf numFmtId="164" fontId="11" fillId="3" borderId="0" xfId="0" applyFont="true" applyBorder="false" applyAlignment="true" applyProtection="true">
      <alignment horizontal="left" vertical="center" textRotation="0" wrapText="false" indent="0" shrinkToFit="false"/>
      <protection locked="true" hidden="false"/>
    </xf>
    <xf numFmtId="166" fontId="17" fillId="0" borderId="1" xfId="0" applyFont="true" applyBorder="true" applyAlignment="true" applyProtection="true">
      <alignment horizontal="center" vertical="center" textRotation="0" wrapText="false" indent="0" shrinkToFit="false"/>
      <protection locked="true" hidden="false"/>
    </xf>
    <xf numFmtId="168" fontId="17" fillId="0" borderId="1" xfId="0" applyFont="true" applyBorder="true" applyAlignment="true" applyProtection="true">
      <alignment horizontal="center" vertical="center" textRotation="0" wrapText="false" indent="0" shrinkToFit="false"/>
      <protection locked="true" hidden="false"/>
    </xf>
    <xf numFmtId="171" fontId="17" fillId="0" borderId="1" xfId="0" applyFont="true" applyBorder="true" applyAlignment="true" applyProtection="true">
      <alignment horizontal="center" vertical="center" textRotation="0" wrapText="false" indent="0" shrinkToFit="false"/>
      <protection locked="true" hidden="false"/>
    </xf>
    <xf numFmtId="164" fontId="11" fillId="5" borderId="0" xfId="0" applyFont="true" applyBorder="false" applyAlignment="true" applyProtection="true">
      <alignment horizontal="left" vertical="center" textRotation="0" wrapText="false" indent="0" shrinkToFit="false"/>
      <protection locked="true" hidden="false"/>
    </xf>
    <xf numFmtId="164" fontId="16" fillId="2" borderId="1" xfId="0" applyFont="true" applyBorder="true" applyAlignment="true" applyProtection="true">
      <alignment horizontal="left" vertical="center" textRotation="0" wrapText="false" indent="0" shrinkToFit="false"/>
      <protection locked="true" hidden="false"/>
    </xf>
    <xf numFmtId="166" fontId="10" fillId="0" borderId="1" xfId="0" applyFont="true" applyBorder="true" applyAlignment="true" applyProtection="true">
      <alignment horizontal="center" vertical="center" textRotation="0" wrapText="false" indent="0" shrinkToFit="false"/>
      <protection locked="true" hidden="false"/>
    </xf>
    <xf numFmtId="165" fontId="9" fillId="0" borderId="1" xfId="0" applyFont="true" applyBorder="true" applyAlignment="true" applyProtection="true">
      <alignment horizontal="center" vertical="center" textRotation="0" wrapText="false" indent="0" shrinkToFit="false"/>
      <protection locked="true" hidden="false"/>
    </xf>
    <xf numFmtId="165" fontId="18" fillId="0" borderId="1" xfId="0" applyFont="true" applyBorder="true" applyAlignment="true" applyProtection="true">
      <alignment horizontal="center" vertical="center" textRotation="0" wrapText="false" indent="0" shrinkToFit="false"/>
      <protection locked="true" hidden="false"/>
    </xf>
    <xf numFmtId="167" fontId="19" fillId="4" borderId="1" xfId="0" applyFont="true" applyBorder="true" applyAlignment="true" applyProtection="true">
      <alignment horizontal="center" vertical="center" textRotation="0" wrapText="false" indent="0" shrinkToFit="false"/>
      <protection locked="true" hidden="false"/>
    </xf>
    <xf numFmtId="164" fontId="10" fillId="0" borderId="1" xfId="0" applyFont="true" applyBorder="true" applyAlignment="true" applyProtection="true">
      <alignment horizontal="center" vertical="center" textRotation="0" wrapText="false" indent="0" shrinkToFit="false"/>
      <protection locked="true" hidden="false"/>
    </xf>
    <xf numFmtId="166" fontId="20" fillId="0" borderId="1" xfId="0" applyFont="true" applyBorder="true" applyAlignment="true" applyProtection="true">
      <alignment horizontal="center" vertical="center" textRotation="0" wrapText="false" indent="0" shrinkToFit="false"/>
      <protection locked="true" hidden="false"/>
    </xf>
    <xf numFmtId="167" fontId="21" fillId="4" borderId="1" xfId="0" applyFont="true" applyBorder="true" applyAlignment="true" applyProtection="true">
      <alignment horizontal="center" vertical="center" textRotation="0" wrapText="false" indent="0" shrinkToFit="false"/>
      <protection locked="true" hidden="false"/>
    </xf>
    <xf numFmtId="165" fontId="10" fillId="0" borderId="1" xfId="0" applyFont="true" applyBorder="true" applyAlignment="true" applyProtection="true">
      <alignment horizontal="center" vertical="center" textRotation="0" wrapText="false" indent="0" shrinkToFit="false"/>
      <protection locked="true" hidden="false"/>
    </xf>
    <xf numFmtId="168" fontId="22" fillId="0" borderId="1" xfId="0" applyFont="true" applyBorder="true" applyAlignment="true" applyProtection="true">
      <alignment horizontal="center" vertical="center" textRotation="0" wrapText="false" indent="0" shrinkToFit="false"/>
      <protection locked="true" hidden="false"/>
    </xf>
    <xf numFmtId="167" fontId="18" fillId="0" borderId="1" xfId="0" applyFont="true" applyBorder="tru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7E0"/>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FF6600"/>
      <rgbColor rgb="FF666699"/>
      <rgbColor rgb="FF969696"/>
      <rgbColor rgb="FF1F3864"/>
      <rgbColor rgb="FF339966"/>
      <rgbColor rgb="FF003300"/>
      <rgbColor rgb="FF333300"/>
      <rgbColor rgb="FF993300"/>
      <rgbColor rgb="FF993366"/>
      <rgbColor rgb="FF2E5496"/>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42"/>
    <col collapsed="false" customWidth="true" hidden="false" outlineLevel="0" max="8" min="3" style="1" width="15"/>
  </cols>
  <sheetData>
    <row r="1" customFormat="false" ht="24" hidden="false" customHeight="true" outlineLevel="0" collapsed="false">
      <c r="A1" s="2" t="s">
        <v>0</v>
      </c>
      <c r="B1" s="2"/>
      <c r="C1" s="2"/>
      <c r="D1" s="2"/>
      <c r="E1" s="2"/>
      <c r="F1" s="2"/>
      <c r="G1" s="2"/>
      <c r="H1" s="2"/>
    </row>
    <row r="2" customFormat="false" ht="15" hidden="false" customHeight="true" outlineLevel="0" collapsed="false">
      <c r="A2" s="3" t="s">
        <v>1</v>
      </c>
      <c r="B2" s="3"/>
      <c r="C2" s="3"/>
      <c r="D2" s="3"/>
      <c r="E2" s="3"/>
      <c r="F2" s="3"/>
      <c r="G2" s="3"/>
      <c r="H2" s="3"/>
    </row>
    <row r="4" customFormat="false" ht="15" hidden="false" customHeight="false" outlineLevel="0" collapsed="false">
      <c r="B4" s="4" t="s">
        <v>2</v>
      </c>
      <c r="C4" s="4"/>
      <c r="D4" s="4"/>
      <c r="E4" s="4"/>
      <c r="F4" s="4"/>
      <c r="G4" s="4"/>
      <c r="H4" s="4"/>
    </row>
    <row r="5" customFormat="false" ht="33.75" hidden="false" customHeight="true" outlineLevel="0" collapsed="false">
      <c r="B5" s="5" t="s">
        <v>3</v>
      </c>
      <c r="C5" s="5"/>
      <c r="D5" s="5"/>
      <c r="E5" s="5"/>
      <c r="F5" s="5"/>
      <c r="G5" s="5"/>
      <c r="H5" s="5"/>
    </row>
    <row r="6" customFormat="false" ht="33.75" hidden="false" customHeight="true" outlineLevel="0" collapsed="false">
      <c r="B6" s="5" t="s">
        <v>4</v>
      </c>
      <c r="C6" s="5"/>
      <c r="D6" s="5"/>
      <c r="E6" s="5"/>
      <c r="F6" s="5"/>
      <c r="G6" s="5"/>
      <c r="H6" s="5"/>
    </row>
    <row r="7" customFormat="false" ht="15" hidden="false" customHeight="false" outlineLevel="0" collapsed="false">
      <c r="B7" s="6"/>
      <c r="C7" s="6"/>
      <c r="D7" s="6"/>
      <c r="E7" s="6"/>
      <c r="F7" s="6"/>
      <c r="G7" s="6"/>
      <c r="H7" s="6"/>
    </row>
    <row r="8" customFormat="false" ht="15" hidden="false" customHeight="false" outlineLevel="0" collapsed="false">
      <c r="B8" s="4" t="s">
        <v>5</v>
      </c>
      <c r="C8" s="4"/>
      <c r="D8" s="4"/>
      <c r="E8" s="4"/>
      <c r="F8" s="4"/>
      <c r="G8" s="4"/>
      <c r="H8" s="4"/>
    </row>
    <row r="9" customFormat="false" ht="33.75" hidden="false" customHeight="true" outlineLevel="0" collapsed="false">
      <c r="B9" s="5" t="s">
        <v>6</v>
      </c>
      <c r="C9" s="5"/>
      <c r="D9" s="5"/>
      <c r="E9" s="5"/>
      <c r="F9" s="5"/>
      <c r="G9" s="5"/>
      <c r="H9" s="5"/>
    </row>
    <row r="10" customFormat="false" ht="33.75" hidden="false" customHeight="true" outlineLevel="0" collapsed="false">
      <c r="B10" s="5" t="s">
        <v>7</v>
      </c>
      <c r="C10" s="5"/>
      <c r="D10" s="5"/>
      <c r="E10" s="5"/>
      <c r="F10" s="5"/>
      <c r="G10" s="5"/>
      <c r="H10" s="5"/>
    </row>
    <row r="11" customFormat="false" ht="15" hidden="false" customHeight="false" outlineLevel="0" collapsed="false">
      <c r="B11" s="6"/>
      <c r="C11" s="6"/>
      <c r="D11" s="6"/>
      <c r="E11" s="6"/>
      <c r="F11" s="6"/>
      <c r="G11" s="6"/>
      <c r="H11" s="6"/>
    </row>
    <row r="12" customFormat="false" ht="15" hidden="false" customHeight="false" outlineLevel="0" collapsed="false">
      <c r="B12" s="4" t="s">
        <v>8</v>
      </c>
      <c r="C12" s="4"/>
      <c r="D12" s="4"/>
      <c r="E12" s="4"/>
      <c r="F12" s="4"/>
      <c r="G12" s="4"/>
      <c r="H12" s="4"/>
    </row>
    <row r="13" customFormat="false" ht="15" hidden="false" customHeight="false" outlineLevel="0" collapsed="false">
      <c r="B13" s="7" t="s">
        <v>9</v>
      </c>
      <c r="C13" s="7"/>
      <c r="D13" s="7"/>
      <c r="E13" s="7"/>
      <c r="F13" s="7"/>
      <c r="G13" s="7"/>
      <c r="H13" s="7"/>
    </row>
    <row r="14" customFormat="false" ht="19.4" hidden="false" customHeight="true" outlineLevel="0" collapsed="false">
      <c r="B14" s="8" t="s">
        <v>10</v>
      </c>
      <c r="C14" s="9" t="n">
        <v>252700</v>
      </c>
      <c r="D14" s="9"/>
      <c r="E14" s="10" t="s">
        <v>11</v>
      </c>
      <c r="F14" s="10"/>
      <c r="G14" s="10"/>
      <c r="H14" s="10"/>
    </row>
    <row r="15" customFormat="false" ht="19.4" hidden="false" customHeight="true" outlineLevel="0" collapsed="false">
      <c r="B15" s="8" t="s">
        <v>12</v>
      </c>
      <c r="C15" s="11" t="n">
        <v>0.243</v>
      </c>
      <c r="D15" s="11"/>
      <c r="E15" s="10" t="s">
        <v>11</v>
      </c>
      <c r="F15" s="10"/>
      <c r="G15" s="10"/>
      <c r="H15" s="10"/>
    </row>
    <row r="16" customFormat="false" ht="19.4" hidden="false" customHeight="true" outlineLevel="0" collapsed="false">
      <c r="B16" s="8" t="s">
        <v>13</v>
      </c>
      <c r="C16" s="11" t="n">
        <v>0.059</v>
      </c>
      <c r="D16" s="11"/>
      <c r="E16" s="10" t="s">
        <v>11</v>
      </c>
      <c r="F16" s="10"/>
      <c r="G16" s="10"/>
      <c r="H16" s="10"/>
    </row>
    <row r="17" customFormat="false" ht="19.4" hidden="false" customHeight="true" outlineLevel="0" collapsed="false">
      <c r="B17" s="8" t="s">
        <v>14</v>
      </c>
      <c r="C17" s="9" t="n">
        <v>4800</v>
      </c>
      <c r="D17" s="9"/>
      <c r="E17" s="10" t="s">
        <v>11</v>
      </c>
      <c r="F17" s="10"/>
      <c r="G17" s="10"/>
      <c r="H17" s="10"/>
    </row>
    <row r="18" customFormat="false" ht="19.4" hidden="false" customHeight="true" outlineLevel="0" collapsed="false">
      <c r="B18" s="8" t="s">
        <v>15</v>
      </c>
      <c r="C18" s="12" t="n">
        <v>1367.2</v>
      </c>
      <c r="D18" s="12"/>
      <c r="E18" s="10" t="s">
        <v>11</v>
      </c>
      <c r="F18" s="10"/>
      <c r="G18" s="10"/>
      <c r="H18" s="10"/>
    </row>
    <row r="19" customFormat="false" ht="19.4" hidden="false" customHeight="true" outlineLevel="0" collapsed="false">
      <c r="B19" s="8" t="s">
        <v>16</v>
      </c>
      <c r="C19" s="12" t="n">
        <v>539.8</v>
      </c>
      <c r="D19" s="12"/>
      <c r="E19" s="10" t="s">
        <v>11</v>
      </c>
      <c r="F19" s="10"/>
      <c r="G19" s="10"/>
      <c r="H19" s="10"/>
    </row>
    <row r="20" customFormat="false" ht="19.4" hidden="false" customHeight="true" outlineLevel="0" collapsed="false">
      <c r="B20" s="8" t="s">
        <v>17</v>
      </c>
      <c r="C20" s="13" t="n">
        <v>1.75</v>
      </c>
      <c r="D20" s="13"/>
      <c r="E20" s="10" t="s">
        <v>11</v>
      </c>
      <c r="F20" s="10"/>
      <c r="G20" s="10"/>
      <c r="H20" s="10"/>
    </row>
    <row r="22" customFormat="false" ht="15" hidden="false" customHeight="false" outlineLevel="0" collapsed="false">
      <c r="B22" s="14" t="s">
        <v>18</v>
      </c>
      <c r="C22" s="14"/>
      <c r="D22" s="14"/>
      <c r="E22" s="14"/>
      <c r="F22" s="14"/>
      <c r="G22" s="14"/>
      <c r="H22" s="14"/>
    </row>
    <row r="23" customFormat="false" ht="28.35" hidden="false" customHeight="true" outlineLevel="0" collapsed="false">
      <c r="B23" s="8" t="s">
        <v>19</v>
      </c>
      <c r="C23" s="9" t="n">
        <v>132410</v>
      </c>
      <c r="D23" s="9"/>
      <c r="E23" s="10" t="s">
        <v>20</v>
      </c>
      <c r="F23" s="10"/>
      <c r="G23" s="10"/>
      <c r="H23" s="10"/>
    </row>
    <row r="24" customFormat="false" ht="28.35" hidden="false" customHeight="true" outlineLevel="0" collapsed="false">
      <c r="B24" s="8" t="s">
        <v>12</v>
      </c>
      <c r="C24" s="11" t="n">
        <v>0.108</v>
      </c>
      <c r="D24" s="11"/>
      <c r="E24" s="10" t="s">
        <v>20</v>
      </c>
      <c r="F24" s="10"/>
      <c r="G24" s="10"/>
      <c r="H24" s="10"/>
    </row>
    <row r="25" customFormat="false" ht="28.35" hidden="false" customHeight="true" outlineLevel="0" collapsed="false">
      <c r="B25" s="8" t="s">
        <v>21</v>
      </c>
      <c r="C25" s="11" t="n">
        <v>0.021</v>
      </c>
      <c r="D25" s="11"/>
      <c r="E25" s="10" t="s">
        <v>20</v>
      </c>
      <c r="F25" s="10"/>
      <c r="G25" s="10"/>
      <c r="H25" s="10"/>
    </row>
    <row r="26" customFormat="false" ht="28.35" hidden="false" customHeight="true" outlineLevel="0" collapsed="false">
      <c r="B26" s="8" t="s">
        <v>22</v>
      </c>
      <c r="C26" s="12" t="n">
        <v>795.8</v>
      </c>
      <c r="D26" s="12"/>
      <c r="E26" s="10" t="s">
        <v>20</v>
      </c>
      <c r="F26" s="10"/>
      <c r="G26" s="10"/>
      <c r="H26" s="10"/>
    </row>
    <row r="27" customFormat="false" ht="28.35" hidden="false" customHeight="true" outlineLevel="0" collapsed="false">
      <c r="B27" s="8" t="s">
        <v>23</v>
      </c>
      <c r="C27" s="9" t="n">
        <v>5400</v>
      </c>
      <c r="D27" s="9"/>
      <c r="E27" s="10" t="s">
        <v>20</v>
      </c>
      <c r="F27" s="10"/>
      <c r="G27" s="10"/>
      <c r="H27" s="10"/>
    </row>
    <row r="28" customFormat="false" ht="28.35" hidden="false" customHeight="true" outlineLevel="0" collapsed="false">
      <c r="B28" s="8" t="s">
        <v>24</v>
      </c>
      <c r="C28" s="13" t="n">
        <v>1.74</v>
      </c>
      <c r="D28" s="13"/>
      <c r="E28" s="10" t="s">
        <v>20</v>
      </c>
      <c r="F28" s="10"/>
      <c r="G28" s="10"/>
      <c r="H28" s="10"/>
    </row>
    <row r="29" customFormat="false" ht="28.35" hidden="false" customHeight="true" outlineLevel="0" collapsed="false">
      <c r="B29" s="8" t="s">
        <v>25</v>
      </c>
      <c r="C29" s="9" t="n">
        <v>193</v>
      </c>
      <c r="D29" s="9"/>
      <c r="E29" s="10" t="s">
        <v>20</v>
      </c>
      <c r="F29" s="10"/>
      <c r="G29" s="10"/>
      <c r="H29" s="10"/>
    </row>
    <row r="31" customFormat="false" ht="15" hidden="false" customHeight="false" outlineLevel="0" collapsed="false">
      <c r="B31" s="4" t="s">
        <v>26</v>
      </c>
      <c r="C31" s="4"/>
      <c r="D31" s="4"/>
      <c r="E31" s="4"/>
      <c r="F31" s="4"/>
      <c r="G31" s="4"/>
      <c r="H31" s="4"/>
    </row>
    <row r="32" customFormat="false" ht="60" hidden="false" customHeight="true" outlineLevel="0" collapsed="false">
      <c r="B32" s="15" t="s">
        <v>27</v>
      </c>
      <c r="C32" s="15"/>
      <c r="D32" s="15"/>
      <c r="E32" s="15"/>
      <c r="F32" s="15"/>
      <c r="G32" s="15"/>
      <c r="H32" s="15"/>
    </row>
  </sheetData>
  <mergeCells count="43">
    <mergeCell ref="A1:H1"/>
    <mergeCell ref="A2:H2"/>
    <mergeCell ref="B4:H4"/>
    <mergeCell ref="B5:H5"/>
    <mergeCell ref="B6:H6"/>
    <mergeCell ref="B7:H7"/>
    <mergeCell ref="B8:H8"/>
    <mergeCell ref="B9:H9"/>
    <mergeCell ref="B10:H10"/>
    <mergeCell ref="B11:H11"/>
    <mergeCell ref="B12:H12"/>
    <mergeCell ref="B13:H13"/>
    <mergeCell ref="C14:D14"/>
    <mergeCell ref="E14:H14"/>
    <mergeCell ref="C15:D15"/>
    <mergeCell ref="E15:H15"/>
    <mergeCell ref="C16:D16"/>
    <mergeCell ref="E16:H16"/>
    <mergeCell ref="C17:D17"/>
    <mergeCell ref="E17:H17"/>
    <mergeCell ref="C18:D18"/>
    <mergeCell ref="E18:H18"/>
    <mergeCell ref="C19:D19"/>
    <mergeCell ref="E19:H19"/>
    <mergeCell ref="C20:D20"/>
    <mergeCell ref="E20:H20"/>
    <mergeCell ref="B22:H22"/>
    <mergeCell ref="C23:D23"/>
    <mergeCell ref="E23:H23"/>
    <mergeCell ref="C24:D24"/>
    <mergeCell ref="E24:H24"/>
    <mergeCell ref="C25:D25"/>
    <mergeCell ref="E25:H25"/>
    <mergeCell ref="C26:D26"/>
    <mergeCell ref="E26:H26"/>
    <mergeCell ref="C27:D27"/>
    <mergeCell ref="E27:H27"/>
    <mergeCell ref="C28:D28"/>
    <mergeCell ref="E28:H28"/>
    <mergeCell ref="C29:D29"/>
    <mergeCell ref="E29:H29"/>
    <mergeCell ref="B31:H31"/>
    <mergeCell ref="B32:H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4" min="3" style="1" width="9"/>
    <col collapsed="false" customWidth="true" hidden="false" outlineLevel="0" max="6" min="5" style="1" width="39"/>
  </cols>
  <sheetData>
    <row r="1" customFormat="false" ht="24" hidden="false" customHeight="true" outlineLevel="0" collapsed="false">
      <c r="A1" s="2" t="s">
        <v>28</v>
      </c>
      <c r="B1" s="2"/>
      <c r="C1" s="2"/>
      <c r="D1" s="2"/>
      <c r="E1" s="2"/>
      <c r="F1" s="2"/>
    </row>
    <row r="2" customFormat="false" ht="15" hidden="false" customHeight="true" outlineLevel="0" collapsed="false">
      <c r="A2" s="3" t="s">
        <v>29</v>
      </c>
      <c r="B2" s="3"/>
      <c r="C2" s="3"/>
      <c r="D2" s="3"/>
      <c r="E2" s="3"/>
      <c r="F2" s="3"/>
    </row>
    <row r="4" customFormat="false" ht="19.5" hidden="false" customHeight="true" outlineLevel="0" collapsed="false">
      <c r="B4" s="16" t="s">
        <v>30</v>
      </c>
      <c r="C4" s="17" t="s">
        <v>31</v>
      </c>
      <c r="D4" s="18" t="s">
        <v>32</v>
      </c>
      <c r="E4" s="16" t="s">
        <v>33</v>
      </c>
      <c r="F4" s="16" t="s">
        <v>34</v>
      </c>
    </row>
    <row r="5" customFormat="false" ht="30" hidden="false" customHeight="true" outlineLevel="0" collapsed="false">
      <c r="B5" s="19" t="s">
        <v>35</v>
      </c>
      <c r="C5" s="20" t="n">
        <v>5</v>
      </c>
      <c r="D5" s="21" t="n">
        <v>2</v>
      </c>
      <c r="E5" s="22" t="s">
        <v>36</v>
      </c>
      <c r="F5" s="22" t="s">
        <v>37</v>
      </c>
    </row>
    <row r="6" customFormat="false" ht="30" hidden="false" customHeight="true" outlineLevel="0" collapsed="false">
      <c r="B6" s="19" t="s">
        <v>38</v>
      </c>
      <c r="C6" s="20" t="n">
        <v>5</v>
      </c>
      <c r="D6" s="21" t="n">
        <v>1</v>
      </c>
      <c r="E6" s="22" t="s">
        <v>39</v>
      </c>
      <c r="F6" s="22" t="s">
        <v>40</v>
      </c>
    </row>
    <row r="7" customFormat="false" ht="30" hidden="false" customHeight="true" outlineLevel="0" collapsed="false">
      <c r="B7" s="19" t="s">
        <v>41</v>
      </c>
      <c r="C7" s="20" t="n">
        <v>4</v>
      </c>
      <c r="D7" s="21" t="n">
        <v>2</v>
      </c>
      <c r="E7" s="22" t="s">
        <v>42</v>
      </c>
      <c r="F7" s="22" t="s">
        <v>43</v>
      </c>
    </row>
    <row r="8" customFormat="false" ht="30" hidden="false" customHeight="true" outlineLevel="0" collapsed="false">
      <c r="B8" s="19" t="s">
        <v>44</v>
      </c>
      <c r="C8" s="20" t="n">
        <v>5</v>
      </c>
      <c r="D8" s="21" t="n">
        <v>2</v>
      </c>
      <c r="E8" s="22" t="s">
        <v>45</v>
      </c>
      <c r="F8" s="22" t="s">
        <v>46</v>
      </c>
    </row>
    <row r="9" customFormat="false" ht="30" hidden="false" customHeight="true" outlineLevel="0" collapsed="false">
      <c r="B9" s="19" t="s">
        <v>47</v>
      </c>
      <c r="C9" s="20" t="n">
        <v>4</v>
      </c>
      <c r="D9" s="21" t="n">
        <v>2</v>
      </c>
      <c r="E9" s="22" t="s">
        <v>48</v>
      </c>
      <c r="F9" s="22" t="s">
        <v>49</v>
      </c>
    </row>
    <row r="10" customFormat="false" ht="30" hidden="false" customHeight="true" outlineLevel="0" collapsed="false">
      <c r="B10" s="19" t="s">
        <v>50</v>
      </c>
      <c r="C10" s="20" t="n">
        <v>4</v>
      </c>
      <c r="D10" s="21" t="n">
        <v>2</v>
      </c>
      <c r="E10" s="22" t="s">
        <v>51</v>
      </c>
      <c r="F10" s="22" t="s">
        <v>52</v>
      </c>
    </row>
    <row r="11" customFormat="false" ht="30" hidden="false" customHeight="true" outlineLevel="0" collapsed="false">
      <c r="B11" s="19" t="s">
        <v>53</v>
      </c>
      <c r="C11" s="23" t="n">
        <v>3</v>
      </c>
      <c r="D11" s="20" t="n">
        <v>4</v>
      </c>
      <c r="E11" s="22" t="s">
        <v>54</v>
      </c>
      <c r="F11" s="22" t="s">
        <v>55</v>
      </c>
    </row>
    <row r="12" customFormat="false" ht="30" hidden="false" customHeight="true" outlineLevel="0" collapsed="false">
      <c r="B12" s="19" t="s">
        <v>56</v>
      </c>
      <c r="C12" s="20" t="n">
        <v>5</v>
      </c>
      <c r="D12" s="21" t="n">
        <v>2</v>
      </c>
      <c r="E12" s="22" t="s">
        <v>57</v>
      </c>
      <c r="F12" s="22" t="s">
        <v>58</v>
      </c>
    </row>
    <row r="13" customFormat="false" ht="30" hidden="false" customHeight="true" outlineLevel="0" collapsed="false">
      <c r="B13" s="19" t="s">
        <v>59</v>
      </c>
      <c r="C13" s="20" t="n">
        <v>5</v>
      </c>
      <c r="D13" s="21" t="n">
        <v>1</v>
      </c>
      <c r="E13" s="22" t="s">
        <v>60</v>
      </c>
      <c r="F13" s="22" t="s">
        <v>61</v>
      </c>
    </row>
    <row r="14" customFormat="false" ht="30" hidden="false" customHeight="true" outlineLevel="0" collapsed="false">
      <c r="B14" s="19" t="s">
        <v>62</v>
      </c>
      <c r="C14" s="23" t="n">
        <v>3</v>
      </c>
      <c r="D14" s="23" t="n">
        <v>3</v>
      </c>
      <c r="E14" s="22" t="s">
        <v>63</v>
      </c>
      <c r="F14" s="22" t="s">
        <v>64</v>
      </c>
    </row>
    <row r="15" customFormat="false" ht="24" hidden="false" customHeight="true" outlineLevel="0" collapsed="false">
      <c r="B15" s="24" t="s">
        <v>65</v>
      </c>
      <c r="C15" s="25" t="n">
        <f aca="false">AVERAGE(C5:C14)</f>
        <v>4.3</v>
      </c>
      <c r="D15" s="26" t="n">
        <f aca="false">AVERAGE(D5:D14)</f>
        <v>2.1</v>
      </c>
      <c r="E15" s="27" t="s">
        <v>66</v>
      </c>
      <c r="F15" s="27" t="s">
        <v>67</v>
      </c>
    </row>
    <row r="17" customFormat="false" ht="15" hidden="false" customHeight="false" outlineLevel="0" collapsed="false">
      <c r="B17" s="28" t="s">
        <v>68</v>
      </c>
      <c r="C17" s="28"/>
      <c r="D17" s="28"/>
      <c r="E17" s="28"/>
      <c r="F17" s="28"/>
    </row>
    <row r="18" customFormat="false" ht="139.5" hidden="false" customHeight="true" outlineLevel="0" collapsed="false">
      <c r="B18" s="29" t="s">
        <v>69</v>
      </c>
      <c r="C18" s="29"/>
      <c r="D18" s="29"/>
      <c r="E18" s="29"/>
      <c r="F18" s="29"/>
    </row>
  </sheetData>
  <mergeCells count="4">
    <mergeCell ref="A1:F1"/>
    <mergeCell ref="A2:F2"/>
    <mergeCell ref="B17:F17"/>
    <mergeCell ref="B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32"/>
    <col collapsed="false" customWidth="true" hidden="false" outlineLevel="0" max="4" min="4" style="1" width="40"/>
  </cols>
  <sheetData>
    <row r="1" customFormat="false" ht="24" hidden="false" customHeight="true" outlineLevel="0" collapsed="false">
      <c r="A1" s="2" t="s">
        <v>70</v>
      </c>
      <c r="B1" s="2"/>
      <c r="C1" s="2"/>
      <c r="D1" s="2"/>
    </row>
    <row r="2" customFormat="false" ht="15" hidden="false" customHeight="true" outlineLevel="0" collapsed="false">
      <c r="A2" s="3" t="s">
        <v>71</v>
      </c>
      <c r="B2" s="3"/>
      <c r="C2" s="3"/>
      <c r="D2" s="3"/>
    </row>
    <row r="4" customFormat="false" ht="15" hidden="false" customHeight="false" outlineLevel="0" collapsed="false">
      <c r="B4" s="30" t="s">
        <v>72</v>
      </c>
      <c r="C4" s="30"/>
      <c r="D4" s="30"/>
    </row>
    <row r="5" customFormat="false" ht="15" hidden="false" customHeight="false" outlineLevel="0" collapsed="false">
      <c r="B5" s="8" t="s">
        <v>73</v>
      </c>
      <c r="C5" s="31" t="s">
        <v>74</v>
      </c>
      <c r="D5" s="32" t="s">
        <v>75</v>
      </c>
    </row>
    <row r="6" customFormat="false" ht="15" hidden="false" customHeight="false" outlineLevel="0" collapsed="false">
      <c r="B6" s="8" t="s">
        <v>76</v>
      </c>
      <c r="C6" s="31" t="s">
        <v>77</v>
      </c>
      <c r="D6" s="32" t="s">
        <v>78</v>
      </c>
    </row>
    <row r="7" customFormat="false" ht="15" hidden="false" customHeight="false" outlineLevel="0" collapsed="false">
      <c r="B7" s="8" t="s">
        <v>79</v>
      </c>
      <c r="C7" s="31" t="s">
        <v>80</v>
      </c>
      <c r="D7" s="32" t="s">
        <v>81</v>
      </c>
    </row>
    <row r="8" customFormat="false" ht="15" hidden="false" customHeight="false" outlineLevel="0" collapsed="false">
      <c r="B8" s="8" t="s">
        <v>82</v>
      </c>
      <c r="C8" s="31" t="s">
        <v>83</v>
      </c>
      <c r="D8" s="32" t="s">
        <v>84</v>
      </c>
    </row>
    <row r="9" customFormat="false" ht="15" hidden="false" customHeight="false" outlineLevel="0" collapsed="false">
      <c r="B9" s="30" t="s">
        <v>85</v>
      </c>
      <c r="C9" s="30"/>
      <c r="D9" s="30"/>
    </row>
    <row r="10" customFormat="false" ht="15" hidden="false" customHeight="false" outlineLevel="0" collapsed="false">
      <c r="B10" s="8" t="s">
        <v>86</v>
      </c>
      <c r="C10" s="31" t="s">
        <v>87</v>
      </c>
      <c r="D10" s="32" t="s">
        <v>88</v>
      </c>
    </row>
    <row r="11" customFormat="false" ht="15" hidden="false" customHeight="false" outlineLevel="0" collapsed="false">
      <c r="B11" s="8" t="s">
        <v>89</v>
      </c>
      <c r="C11" s="31" t="s">
        <v>90</v>
      </c>
      <c r="D11" s="32" t="s">
        <v>91</v>
      </c>
    </row>
    <row r="12" customFormat="false" ht="15" hidden="false" customHeight="false" outlineLevel="0" collapsed="false">
      <c r="B12" s="8" t="s">
        <v>92</v>
      </c>
      <c r="C12" s="31" t="s">
        <v>93</v>
      </c>
      <c r="D12" s="32" t="s">
        <v>94</v>
      </c>
    </row>
    <row r="13" customFormat="false" ht="15" hidden="false" customHeight="false" outlineLevel="0" collapsed="false">
      <c r="B13" s="8" t="s">
        <v>95</v>
      </c>
      <c r="C13" s="31" t="s">
        <v>96</v>
      </c>
      <c r="D13" s="32" t="s">
        <v>97</v>
      </c>
    </row>
    <row r="14" customFormat="false" ht="15" hidden="false" customHeight="false" outlineLevel="0" collapsed="false">
      <c r="B14" s="30" t="s">
        <v>98</v>
      </c>
      <c r="C14" s="30"/>
      <c r="D14" s="30"/>
    </row>
    <row r="15" customFormat="false" ht="15" hidden="false" customHeight="false" outlineLevel="0" collapsed="false">
      <c r="B15" s="8" t="s">
        <v>99</v>
      </c>
      <c r="C15" s="31" t="s">
        <v>100</v>
      </c>
      <c r="D15" s="32" t="s">
        <v>101</v>
      </c>
    </row>
    <row r="16" customFormat="false" ht="15" hidden="false" customHeight="false" outlineLevel="0" collapsed="false">
      <c r="B16" s="8" t="s">
        <v>102</v>
      </c>
      <c r="C16" s="31" t="s">
        <v>103</v>
      </c>
      <c r="D16" s="32" t="s">
        <v>104</v>
      </c>
    </row>
    <row r="17" customFormat="false" ht="15" hidden="false" customHeight="false" outlineLevel="0" collapsed="false">
      <c r="B17" s="8" t="s">
        <v>105</v>
      </c>
      <c r="C17" s="31" t="s">
        <v>106</v>
      </c>
      <c r="D17" s="32" t="s">
        <v>107</v>
      </c>
    </row>
    <row r="18" customFormat="false" ht="15" hidden="false" customHeight="false" outlineLevel="0" collapsed="false">
      <c r="B18" s="8" t="s">
        <v>108</v>
      </c>
      <c r="C18" s="31" t="s">
        <v>109</v>
      </c>
      <c r="D18" s="32" t="s">
        <v>110</v>
      </c>
    </row>
    <row r="19" customFormat="false" ht="15" hidden="false" customHeight="false" outlineLevel="0" collapsed="false">
      <c r="B19" s="8" t="s">
        <v>111</v>
      </c>
      <c r="C19" s="31" t="s">
        <v>112</v>
      </c>
      <c r="D19" s="32" t="s">
        <v>113</v>
      </c>
    </row>
    <row r="21" customFormat="false" ht="69.75" hidden="false" customHeight="true" outlineLevel="0" collapsed="false">
      <c r="B21" s="33" t="s">
        <v>114</v>
      </c>
      <c r="C21" s="33"/>
      <c r="D21" s="33"/>
    </row>
  </sheetData>
  <mergeCells count="6">
    <mergeCell ref="A1:D1"/>
    <mergeCell ref="A2:D2"/>
    <mergeCell ref="B4:D4"/>
    <mergeCell ref="B9:D9"/>
    <mergeCell ref="B14:D14"/>
    <mergeCell ref="B21: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44"/>
    <col collapsed="false" customWidth="true" hidden="false" outlineLevel="0" max="3" min="3" style="1" width="18"/>
    <col collapsed="false" customWidth="true" hidden="false" outlineLevel="0" max="4" min="4" style="1" width="40"/>
  </cols>
  <sheetData>
    <row r="1" customFormat="false" ht="24" hidden="false" customHeight="true" outlineLevel="0" collapsed="false">
      <c r="A1" s="2" t="s">
        <v>115</v>
      </c>
      <c r="B1" s="2"/>
      <c r="C1" s="2"/>
      <c r="D1" s="2"/>
    </row>
    <row r="2" customFormat="false" ht="15" hidden="false" customHeight="true" outlineLevel="0" collapsed="false">
      <c r="A2" s="3" t="s">
        <v>116</v>
      </c>
      <c r="B2" s="3"/>
      <c r="C2" s="3"/>
      <c r="D2" s="3"/>
    </row>
    <row r="4" customFormat="false" ht="15" hidden="false" customHeight="false" outlineLevel="0" collapsed="false">
      <c r="B4" s="34" t="s">
        <v>117</v>
      </c>
      <c r="C4" s="35" t="s">
        <v>118</v>
      </c>
      <c r="D4" s="34" t="s">
        <v>119</v>
      </c>
    </row>
    <row r="5" customFormat="false" ht="15" hidden="false" customHeight="false" outlineLevel="0" collapsed="false">
      <c r="B5" s="8" t="s">
        <v>10</v>
      </c>
      <c r="C5" s="9" t="n">
        <v>252700</v>
      </c>
      <c r="D5" s="36"/>
    </row>
    <row r="6" customFormat="false" ht="15" hidden="false" customHeight="false" outlineLevel="0" collapsed="false">
      <c r="B6" s="8" t="s">
        <v>12</v>
      </c>
      <c r="C6" s="11" t="n">
        <v>0.243</v>
      </c>
      <c r="D6" s="36"/>
    </row>
    <row r="7" customFormat="false" ht="15" hidden="false" customHeight="false" outlineLevel="0" collapsed="false">
      <c r="B7" s="8" t="s">
        <v>13</v>
      </c>
      <c r="C7" s="11" t="n">
        <v>0.059</v>
      </c>
      <c r="D7" s="36"/>
    </row>
    <row r="8" customFormat="false" ht="15" hidden="false" customHeight="false" outlineLevel="0" collapsed="false">
      <c r="B8" s="8" t="s">
        <v>14</v>
      </c>
      <c r="C8" s="9" t="n">
        <v>4800</v>
      </c>
      <c r="D8" s="36"/>
    </row>
    <row r="9" customFormat="false" ht="15" hidden="false" customHeight="false" outlineLevel="0" collapsed="false">
      <c r="B9" s="8" t="s">
        <v>15</v>
      </c>
      <c r="C9" s="12" t="n">
        <v>1367.2</v>
      </c>
      <c r="D9" s="36"/>
    </row>
    <row r="10" customFormat="false" ht="15" hidden="false" customHeight="false" outlineLevel="0" collapsed="false">
      <c r="B10" s="8" t="s">
        <v>16</v>
      </c>
      <c r="C10" s="12" t="n">
        <v>539.8</v>
      </c>
      <c r="D10" s="36"/>
    </row>
    <row r="11" customFormat="false" ht="15" hidden="false" customHeight="false" outlineLevel="0" collapsed="false">
      <c r="B11" s="8" t="s">
        <v>17</v>
      </c>
      <c r="C11" s="13" t="n">
        <v>1.75</v>
      </c>
      <c r="D11" s="36"/>
    </row>
    <row r="13" customFormat="false" ht="39.75" hidden="false" customHeight="true" outlineLevel="0" collapsed="false">
      <c r="B13" s="33" t="s">
        <v>11</v>
      </c>
      <c r="C13" s="33"/>
      <c r="D13" s="33"/>
    </row>
  </sheetData>
  <mergeCells count="3">
    <mergeCell ref="A1:D1"/>
    <mergeCell ref="A2:D2"/>
    <mergeCell ref="B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44"/>
    <col collapsed="false" customWidth="true" hidden="false" outlineLevel="0" max="3" min="3" style="1" width="18"/>
    <col collapsed="false" customWidth="true" hidden="false" outlineLevel="0" max="4" min="4" style="1" width="40"/>
  </cols>
  <sheetData>
    <row r="1" customFormat="false" ht="24" hidden="false" customHeight="true" outlineLevel="0" collapsed="false">
      <c r="A1" s="2" t="s">
        <v>120</v>
      </c>
      <c r="B1" s="2"/>
      <c r="C1" s="2"/>
      <c r="D1" s="2"/>
    </row>
    <row r="2" customFormat="false" ht="15" hidden="false" customHeight="true" outlineLevel="0" collapsed="false">
      <c r="A2" s="3" t="s">
        <v>116</v>
      </c>
      <c r="B2" s="3"/>
      <c r="C2" s="3"/>
      <c r="D2" s="3"/>
    </row>
    <row r="4" customFormat="false" ht="15" hidden="false" customHeight="false" outlineLevel="0" collapsed="false">
      <c r="B4" s="37" t="s">
        <v>117</v>
      </c>
      <c r="C4" s="38" t="s">
        <v>118</v>
      </c>
      <c r="D4" s="37" t="s">
        <v>119</v>
      </c>
    </row>
    <row r="5" customFormat="false" ht="15" hidden="false" customHeight="false" outlineLevel="0" collapsed="false">
      <c r="B5" s="8" t="s">
        <v>19</v>
      </c>
      <c r="C5" s="9" t="n">
        <v>132410</v>
      </c>
      <c r="D5" s="36"/>
    </row>
    <row r="6" customFormat="false" ht="15" hidden="false" customHeight="false" outlineLevel="0" collapsed="false">
      <c r="B6" s="8" t="s">
        <v>12</v>
      </c>
      <c r="C6" s="11" t="n">
        <v>0.108</v>
      </c>
      <c r="D6" s="36"/>
    </row>
    <row r="7" customFormat="false" ht="15" hidden="false" customHeight="false" outlineLevel="0" collapsed="false">
      <c r="B7" s="8" t="s">
        <v>21</v>
      </c>
      <c r="C7" s="11" t="n">
        <v>0.021</v>
      </c>
      <c r="D7" s="36"/>
    </row>
    <row r="8" customFormat="false" ht="15" hidden="false" customHeight="false" outlineLevel="0" collapsed="false">
      <c r="B8" s="8" t="s">
        <v>22</v>
      </c>
      <c r="C8" s="12" t="n">
        <v>795.8</v>
      </c>
      <c r="D8" s="36"/>
    </row>
    <row r="9" customFormat="false" ht="15" hidden="false" customHeight="false" outlineLevel="0" collapsed="false">
      <c r="B9" s="8" t="s">
        <v>23</v>
      </c>
      <c r="C9" s="9" t="n">
        <v>5400</v>
      </c>
      <c r="D9" s="36"/>
    </row>
    <row r="10" customFormat="false" ht="15" hidden="false" customHeight="false" outlineLevel="0" collapsed="false">
      <c r="B10" s="8" t="s">
        <v>24</v>
      </c>
      <c r="C10" s="13" t="n">
        <v>1.74</v>
      </c>
      <c r="D10" s="36"/>
    </row>
    <row r="11" customFormat="false" ht="15" hidden="false" customHeight="false" outlineLevel="0" collapsed="false">
      <c r="B11" s="8" t="s">
        <v>25</v>
      </c>
      <c r="C11" s="9" t="n">
        <v>193</v>
      </c>
      <c r="D11" s="36"/>
    </row>
    <row r="13" customFormat="false" ht="39.75" hidden="false" customHeight="true" outlineLevel="0" collapsed="false">
      <c r="B13" s="33" t="s">
        <v>20</v>
      </c>
      <c r="C13" s="33"/>
      <c r="D13" s="33"/>
    </row>
  </sheetData>
  <mergeCells count="3">
    <mergeCell ref="A1:D1"/>
    <mergeCell ref="A2:D2"/>
    <mergeCell ref="B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44"/>
    <col collapsed="false" customWidth="true" hidden="false" outlineLevel="0" max="9" min="3" style="1" width="12"/>
  </cols>
  <sheetData>
    <row r="1" customFormat="false" ht="24" hidden="false" customHeight="true" outlineLevel="0" collapsed="false">
      <c r="A1" s="2" t="s">
        <v>121</v>
      </c>
      <c r="B1" s="2"/>
      <c r="C1" s="2"/>
      <c r="D1" s="2"/>
      <c r="E1" s="2"/>
      <c r="F1" s="2"/>
      <c r="G1" s="2"/>
      <c r="H1" s="2"/>
      <c r="I1" s="2"/>
    </row>
    <row r="2" customFormat="false" ht="15" hidden="false" customHeight="true" outlineLevel="0" collapsed="false">
      <c r="A2" s="3" t="s">
        <v>122</v>
      </c>
      <c r="B2" s="3"/>
      <c r="C2" s="3"/>
      <c r="D2" s="3"/>
      <c r="E2" s="3"/>
      <c r="F2" s="3"/>
      <c r="G2" s="3"/>
      <c r="H2" s="3"/>
      <c r="I2" s="3"/>
    </row>
    <row r="4" customFormat="false" ht="15" hidden="false" customHeight="false" outlineLevel="0" collapsed="false">
      <c r="B4" s="39" t="s">
        <v>123</v>
      </c>
    </row>
    <row r="5" customFormat="false" ht="25.5" hidden="false" customHeight="true" outlineLevel="0" collapsed="false">
      <c r="B5" s="40"/>
      <c r="C5" s="41" t="s">
        <v>118</v>
      </c>
      <c r="D5" s="42" t="s">
        <v>124</v>
      </c>
      <c r="E5" s="42" t="s">
        <v>125</v>
      </c>
      <c r="F5" s="43" t="s">
        <v>126</v>
      </c>
      <c r="G5" s="43" t="s">
        <v>127</v>
      </c>
      <c r="H5" s="43" t="s">
        <v>128</v>
      </c>
      <c r="I5" s="43" t="s">
        <v>129</v>
      </c>
    </row>
    <row r="6" customFormat="false" ht="15" hidden="false" customHeight="false" outlineLevel="0" collapsed="false">
      <c r="B6" s="8" t="s">
        <v>130</v>
      </c>
      <c r="C6" s="44" t="n">
        <v>78</v>
      </c>
      <c r="D6" s="44" t="n">
        <v>72</v>
      </c>
      <c r="E6" s="44" t="n">
        <v>72</v>
      </c>
      <c r="F6" s="44" t="n">
        <v>80</v>
      </c>
      <c r="G6" s="44" t="n">
        <v>78</v>
      </c>
      <c r="H6" s="44" t="n">
        <v>100</v>
      </c>
      <c r="I6" s="44" t="n">
        <v>100</v>
      </c>
    </row>
    <row r="7" customFormat="false" ht="15" hidden="false" customHeight="false" outlineLevel="0" collapsed="false">
      <c r="B7" s="8" t="s">
        <v>131</v>
      </c>
      <c r="C7" s="45" t="n">
        <v>18.4</v>
      </c>
      <c r="D7" s="45" t="n">
        <v>16</v>
      </c>
      <c r="E7" s="45" t="n">
        <v>15.8</v>
      </c>
      <c r="F7" s="45" t="n">
        <v>16.5</v>
      </c>
      <c r="G7" s="45" t="n">
        <v>16.8</v>
      </c>
      <c r="H7" s="45" t="n">
        <v>17.5</v>
      </c>
      <c r="I7" s="45" t="n">
        <v>18</v>
      </c>
    </row>
    <row r="8" customFormat="false" ht="15" hidden="false" customHeight="false" outlineLevel="0" collapsed="false">
      <c r="B8" s="8" t="s">
        <v>132</v>
      </c>
      <c r="C8" s="46" t="n">
        <v>0.07</v>
      </c>
      <c r="D8" s="46" t="n">
        <v>0.0667</v>
      </c>
      <c r="E8" s="46" t="n">
        <v>0.0625</v>
      </c>
      <c r="F8" s="46" t="n">
        <v>0.07</v>
      </c>
      <c r="G8" s="46" t="n">
        <v>0.0675</v>
      </c>
      <c r="H8" s="46" t="n">
        <v>0.0817</v>
      </c>
      <c r="I8" s="46" t="n">
        <v>0.0817</v>
      </c>
    </row>
    <row r="9" customFormat="false" ht="15" hidden="false" customHeight="false" outlineLevel="0" collapsed="false">
      <c r="B9" s="8" t="s">
        <v>133</v>
      </c>
      <c r="C9" s="45" t="n">
        <v>28.06</v>
      </c>
      <c r="D9" s="45" t="n">
        <v>25.5</v>
      </c>
      <c r="E9" s="45" t="n">
        <v>24.5</v>
      </c>
      <c r="F9" s="45" t="n">
        <v>27</v>
      </c>
      <c r="G9" s="45" t="n">
        <v>27</v>
      </c>
      <c r="H9" s="45" t="n">
        <v>29.5</v>
      </c>
      <c r="I9" s="45" t="n">
        <v>30.5</v>
      </c>
    </row>
    <row r="11" customFormat="false" ht="15" hidden="false" customHeight="false" outlineLevel="0" collapsed="false">
      <c r="B11" s="47" t="s">
        <v>134</v>
      </c>
    </row>
    <row r="12" customFormat="false" ht="25.5" hidden="false" customHeight="true" outlineLevel="0" collapsed="false">
      <c r="B12" s="40"/>
      <c r="C12" s="41" t="s">
        <v>118</v>
      </c>
      <c r="D12" s="42" t="s">
        <v>124</v>
      </c>
      <c r="E12" s="42" t="s">
        <v>125</v>
      </c>
      <c r="F12" s="43" t="s">
        <v>126</v>
      </c>
      <c r="G12" s="43" t="s">
        <v>127</v>
      </c>
      <c r="H12" s="43" t="s">
        <v>128</v>
      </c>
      <c r="I12" s="43" t="s">
        <v>129</v>
      </c>
    </row>
    <row r="13" customFormat="false" ht="15" hidden="false" customHeight="false" outlineLevel="0" collapsed="false">
      <c r="B13" s="8" t="s">
        <v>135</v>
      </c>
      <c r="C13" s="48"/>
      <c r="D13" s="48" t="n">
        <v>0.03</v>
      </c>
      <c r="E13" s="48" t="n">
        <v>0.03</v>
      </c>
      <c r="F13" s="48" t="n">
        <v>0.04</v>
      </c>
      <c r="G13" s="48" t="n">
        <v>0.04</v>
      </c>
      <c r="H13" s="48" t="n">
        <v>0.055</v>
      </c>
      <c r="I13" s="48" t="n">
        <v>0.05</v>
      </c>
    </row>
    <row r="14" customFormat="false" ht="15" hidden="false" customHeight="false" outlineLevel="0" collapsed="false">
      <c r="B14" s="8" t="s">
        <v>136</v>
      </c>
      <c r="C14" s="48"/>
      <c r="D14" s="48" t="n">
        <v>0.04</v>
      </c>
      <c r="E14" s="48" t="n">
        <v>0.04</v>
      </c>
      <c r="F14" s="48" t="n">
        <v>0.025</v>
      </c>
      <c r="G14" s="48" t="n">
        <v>0.025</v>
      </c>
      <c r="H14" s="48" t="n">
        <v>0.015</v>
      </c>
      <c r="I14" s="48" t="n">
        <v>0.015</v>
      </c>
    </row>
    <row r="15" customFormat="false" ht="15" hidden="false" customHeight="false" outlineLevel="0" collapsed="false">
      <c r="B15" s="8" t="s">
        <v>12</v>
      </c>
      <c r="C15" s="48" t="n">
        <v>0.243</v>
      </c>
      <c r="D15" s="48" t="n">
        <v>0.243</v>
      </c>
      <c r="E15" s="48" t="n">
        <v>0.244</v>
      </c>
      <c r="F15" s="48" t="n">
        <v>0.242</v>
      </c>
      <c r="G15" s="48" t="n">
        <v>0.242</v>
      </c>
      <c r="H15" s="48" t="n">
        <v>0.24</v>
      </c>
      <c r="I15" s="48" t="n">
        <v>0.239</v>
      </c>
    </row>
    <row r="16" customFormat="false" ht="15" hidden="false" customHeight="false" outlineLevel="0" collapsed="false">
      <c r="B16" s="8" t="s">
        <v>13</v>
      </c>
      <c r="C16" s="48" t="n">
        <v>0.059</v>
      </c>
      <c r="D16" s="48" t="n">
        <v>0.059</v>
      </c>
      <c r="E16" s="48" t="n">
        <v>0.0595</v>
      </c>
      <c r="F16" s="48" t="n">
        <v>0.0585</v>
      </c>
      <c r="G16" s="48" t="n">
        <v>0.0588</v>
      </c>
      <c r="H16" s="48" t="n">
        <v>0.058</v>
      </c>
      <c r="I16" s="48" t="n">
        <v>0.0572</v>
      </c>
    </row>
    <row r="17" customFormat="false" ht="15" hidden="false" customHeight="false" outlineLevel="0" collapsed="false">
      <c r="B17" s="8" t="s">
        <v>14</v>
      </c>
      <c r="C17" s="44" t="n">
        <v>4800</v>
      </c>
      <c r="D17" s="44" t="n">
        <v>4700</v>
      </c>
      <c r="E17" s="44" t="n">
        <v>4600</v>
      </c>
      <c r="F17" s="44" t="n">
        <v>4950</v>
      </c>
      <c r="G17" s="44" t="n">
        <v>4900</v>
      </c>
      <c r="H17" s="44" t="n">
        <v>5000</v>
      </c>
      <c r="I17" s="44" t="n">
        <v>5300</v>
      </c>
    </row>
    <row r="18" customFormat="false" ht="15" hidden="false" customHeight="false" outlineLevel="0" collapsed="false">
      <c r="B18" s="8" t="s">
        <v>137</v>
      </c>
      <c r="C18" s="48" t="n">
        <v>0.27</v>
      </c>
      <c r="D18" s="48" t="n">
        <v>0.27</v>
      </c>
      <c r="E18" s="48" t="n">
        <v>0.27</v>
      </c>
      <c r="F18" s="48" t="n">
        <v>0.27</v>
      </c>
      <c r="G18" s="48" t="n">
        <v>0.27</v>
      </c>
      <c r="H18" s="48" t="n">
        <v>0.27</v>
      </c>
      <c r="I18" s="48" t="n">
        <v>0.27</v>
      </c>
    </row>
    <row r="19" customFormat="false" ht="15" hidden="false" customHeight="false" outlineLevel="0" collapsed="false">
      <c r="B19" s="8" t="s">
        <v>17</v>
      </c>
      <c r="C19" s="49" t="n">
        <v>1.75</v>
      </c>
      <c r="D19" s="49" t="n">
        <v>1.75</v>
      </c>
      <c r="E19" s="49" t="n">
        <v>1.75</v>
      </c>
      <c r="F19" s="49" t="n">
        <v>1.75</v>
      </c>
      <c r="G19" s="49" t="n">
        <v>1.75</v>
      </c>
      <c r="H19" s="49" t="n">
        <v>1.75</v>
      </c>
      <c r="I19" s="49" t="n">
        <v>1.75</v>
      </c>
    </row>
    <row r="20" customFormat="false" ht="15" hidden="false" customHeight="false" outlineLevel="0" collapsed="false">
      <c r="B20" s="8" t="s">
        <v>138</v>
      </c>
      <c r="C20" s="50" t="n">
        <v>1.0158</v>
      </c>
      <c r="D20" s="50" t="n">
        <v>1.0158</v>
      </c>
      <c r="E20" s="50" t="n">
        <v>1.0158</v>
      </c>
      <c r="F20" s="50" t="n">
        <v>1.0158</v>
      </c>
      <c r="G20" s="50" t="n">
        <v>1.0158</v>
      </c>
      <c r="H20" s="50" t="n">
        <v>1.0158</v>
      </c>
      <c r="I20" s="50" t="n">
        <v>1.0158</v>
      </c>
    </row>
    <row r="21" customFormat="false" ht="15" hidden="false" customHeight="false" outlineLevel="0" collapsed="false">
      <c r="B21" s="8" t="s">
        <v>16</v>
      </c>
      <c r="C21" s="45" t="n">
        <v>539.8</v>
      </c>
      <c r="D21" s="45" t="n">
        <v>539.8</v>
      </c>
      <c r="E21" s="45" t="n">
        <v>539.8</v>
      </c>
      <c r="F21" s="45" t="n">
        <v>539.8</v>
      </c>
      <c r="G21" s="45" t="n">
        <v>539.8</v>
      </c>
      <c r="H21" s="45" t="n">
        <v>539.8</v>
      </c>
      <c r="I21" s="45" t="n">
        <v>539.8</v>
      </c>
    </row>
    <row r="22" customFormat="false" ht="73.5" hidden="false" customHeight="true" outlineLevel="0" collapsed="false">
      <c r="B22" s="33" t="s">
        <v>139</v>
      </c>
      <c r="C22" s="33"/>
      <c r="D22" s="33"/>
      <c r="E22" s="33"/>
      <c r="F22" s="33"/>
      <c r="G22" s="33"/>
      <c r="H22" s="33"/>
      <c r="I22" s="33"/>
    </row>
    <row r="24" customFormat="false" ht="15" hidden="false" customHeight="false" outlineLevel="0" collapsed="false">
      <c r="B24" s="51" t="s">
        <v>140</v>
      </c>
    </row>
    <row r="25" customFormat="false" ht="25.5" hidden="false" customHeight="true" outlineLevel="0" collapsed="false">
      <c r="B25" s="40"/>
      <c r="C25" s="41" t="s">
        <v>118</v>
      </c>
      <c r="D25" s="42" t="s">
        <v>124</v>
      </c>
      <c r="E25" s="42" t="s">
        <v>125</v>
      </c>
      <c r="F25" s="43" t="s">
        <v>126</v>
      </c>
      <c r="G25" s="43" t="s">
        <v>127</v>
      </c>
      <c r="H25" s="43" t="s">
        <v>128</v>
      </c>
      <c r="I25" s="43" t="s">
        <v>129</v>
      </c>
    </row>
    <row r="26" customFormat="false" ht="15" hidden="false" customHeight="false" outlineLevel="0" collapsed="false">
      <c r="B26" s="8" t="s">
        <v>141</v>
      </c>
      <c r="C26" s="48"/>
      <c r="D26" s="48" t="n">
        <v>0.04</v>
      </c>
      <c r="E26" s="48" t="n">
        <v>0.045</v>
      </c>
      <c r="F26" s="48" t="n">
        <v>0.03</v>
      </c>
      <c r="G26" s="48" t="n">
        <v>0.035</v>
      </c>
      <c r="H26" s="48" t="n">
        <v>0.025</v>
      </c>
      <c r="I26" s="48" t="n">
        <v>0.025</v>
      </c>
    </row>
    <row r="27" customFormat="false" ht="15" hidden="false" customHeight="false" outlineLevel="0" collapsed="false">
      <c r="B27" s="8" t="s">
        <v>12</v>
      </c>
      <c r="C27" s="48" t="n">
        <v>0.108</v>
      </c>
      <c r="D27" s="48" t="n">
        <v>0.109</v>
      </c>
      <c r="E27" s="48" t="n">
        <v>0.11</v>
      </c>
      <c r="F27" s="48" t="n">
        <v>0.108</v>
      </c>
      <c r="G27" s="48" t="n">
        <v>0.109</v>
      </c>
      <c r="H27" s="48" t="n">
        <v>0.106</v>
      </c>
      <c r="I27" s="48" t="n">
        <v>0.106</v>
      </c>
    </row>
    <row r="28" customFormat="false" ht="15" hidden="false" customHeight="false" outlineLevel="0" collapsed="false">
      <c r="B28" s="8" t="s">
        <v>142</v>
      </c>
      <c r="C28" s="48" t="n">
        <v>0.021</v>
      </c>
      <c r="D28" s="48" t="n">
        <v>0.016</v>
      </c>
      <c r="E28" s="48" t="n">
        <v>0.021</v>
      </c>
      <c r="F28" s="48" t="n">
        <v>0.014</v>
      </c>
      <c r="G28" s="48" t="n">
        <v>0.018</v>
      </c>
      <c r="H28" s="48" t="n">
        <v>0.012</v>
      </c>
      <c r="I28" s="48" t="n">
        <v>0.014</v>
      </c>
    </row>
    <row r="29" customFormat="false" ht="15" hidden="false" customHeight="false" outlineLevel="0" collapsed="false">
      <c r="B29" s="8" t="s">
        <v>143</v>
      </c>
      <c r="C29" s="44" t="n">
        <v>720</v>
      </c>
      <c r="D29" s="44" t="n">
        <v>620</v>
      </c>
      <c r="E29" s="44" t="n">
        <v>520</v>
      </c>
      <c r="F29" s="44" t="n">
        <v>720</v>
      </c>
      <c r="G29" s="44" t="n">
        <v>650</v>
      </c>
      <c r="H29" s="44" t="n">
        <v>850</v>
      </c>
      <c r="I29" s="44" t="n">
        <v>900</v>
      </c>
    </row>
    <row r="30" customFormat="false" ht="15" hidden="false" customHeight="false" outlineLevel="0" collapsed="false">
      <c r="B30" s="8" t="s">
        <v>144</v>
      </c>
      <c r="C30" s="45" t="n">
        <v>795.8</v>
      </c>
      <c r="D30" s="45" t="n">
        <v>470</v>
      </c>
      <c r="E30" s="45" t="n">
        <v>640</v>
      </c>
      <c r="F30" s="45" t="n">
        <v>420</v>
      </c>
      <c r="G30" s="45" t="n">
        <v>540</v>
      </c>
      <c r="H30" s="45" t="n">
        <v>380</v>
      </c>
      <c r="I30" s="45" t="n">
        <v>430</v>
      </c>
    </row>
    <row r="31" customFormat="false" ht="15" hidden="false" customHeight="false" outlineLevel="0" collapsed="false">
      <c r="B31" s="8" t="s">
        <v>23</v>
      </c>
      <c r="C31" s="44" t="n">
        <v>5400</v>
      </c>
      <c r="D31" s="44" t="n">
        <v>4700</v>
      </c>
      <c r="E31" s="44" t="n">
        <v>3700</v>
      </c>
      <c r="F31" s="44" t="n">
        <v>5000</v>
      </c>
      <c r="G31" s="44" t="n">
        <v>4400</v>
      </c>
      <c r="H31" s="44" t="n">
        <v>5700</v>
      </c>
      <c r="I31" s="44" t="n">
        <v>5500</v>
      </c>
    </row>
    <row r="32" customFormat="false" ht="15" hidden="false" customHeight="false" outlineLevel="0" collapsed="false">
      <c r="B32" s="8" t="s">
        <v>24</v>
      </c>
      <c r="C32" s="49" t="n">
        <v>1.74</v>
      </c>
      <c r="D32" s="49" t="n">
        <v>1.5</v>
      </c>
      <c r="E32" s="49" t="n">
        <v>1.1</v>
      </c>
      <c r="F32" s="49" t="n">
        <v>1.6</v>
      </c>
      <c r="G32" s="49" t="n">
        <v>1.4</v>
      </c>
      <c r="H32" s="49" t="n">
        <v>1.9</v>
      </c>
      <c r="I32" s="49" t="n">
        <v>1.8</v>
      </c>
    </row>
    <row r="33" customFormat="false" ht="15" hidden="false" customHeight="false" outlineLevel="0" collapsed="false">
      <c r="B33" s="8" t="s">
        <v>145</v>
      </c>
      <c r="C33" s="45" t="n">
        <v>0</v>
      </c>
      <c r="D33" s="45" t="n">
        <v>0</v>
      </c>
      <c r="E33" s="45" t="n">
        <v>120</v>
      </c>
      <c r="F33" s="45" t="n">
        <v>0</v>
      </c>
      <c r="G33" s="45" t="n">
        <v>60</v>
      </c>
      <c r="H33" s="45" t="n">
        <v>0</v>
      </c>
      <c r="I33" s="45" t="n">
        <v>0</v>
      </c>
    </row>
    <row r="34" customFormat="false" ht="15" hidden="false" customHeight="false" outlineLevel="0" collapsed="false">
      <c r="B34" s="8" t="s">
        <v>146</v>
      </c>
      <c r="C34" s="44" t="n">
        <v>193</v>
      </c>
      <c r="D34" s="44" t="n">
        <v>193</v>
      </c>
      <c r="E34" s="44" t="n">
        <v>193</v>
      </c>
      <c r="F34" s="44" t="n">
        <v>193</v>
      </c>
      <c r="G34" s="44" t="n">
        <v>193</v>
      </c>
      <c r="H34" s="44" t="n">
        <v>193</v>
      </c>
      <c r="I34" s="44" t="n">
        <v>193</v>
      </c>
    </row>
    <row r="35" customFormat="false" ht="73.5" hidden="false" customHeight="true" outlineLevel="0" collapsed="false">
      <c r="B35" s="33" t="s">
        <v>147</v>
      </c>
      <c r="C35" s="33"/>
      <c r="D35" s="33"/>
      <c r="E35" s="33"/>
      <c r="F35" s="33"/>
      <c r="G35" s="33"/>
      <c r="H35" s="33"/>
      <c r="I35" s="33"/>
    </row>
  </sheetData>
  <mergeCells count="4">
    <mergeCell ref="A1:I1"/>
    <mergeCell ref="A2:I2"/>
    <mergeCell ref="B22:I22"/>
    <mergeCell ref="B35:I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9" min="3" style="1" width="13"/>
  </cols>
  <sheetData>
    <row r="1" customFormat="false" ht="24" hidden="false" customHeight="true" outlineLevel="0" collapsed="false">
      <c r="A1" s="2" t="s">
        <v>148</v>
      </c>
      <c r="B1" s="2"/>
      <c r="C1" s="2"/>
      <c r="D1" s="2"/>
      <c r="E1" s="2"/>
      <c r="F1" s="2"/>
      <c r="G1" s="2"/>
      <c r="H1" s="2"/>
      <c r="I1" s="2"/>
    </row>
    <row r="2" customFormat="false" ht="15" hidden="false" customHeight="true" outlineLevel="0" collapsed="false">
      <c r="A2" s="3" t="s">
        <v>149</v>
      </c>
      <c r="B2" s="3"/>
      <c r="C2" s="3"/>
      <c r="D2" s="3"/>
      <c r="E2" s="3"/>
      <c r="F2" s="3"/>
      <c r="G2" s="3"/>
      <c r="H2" s="3"/>
      <c r="I2" s="3"/>
    </row>
    <row r="4" customFormat="false" ht="25.5" hidden="false" customHeight="true" outlineLevel="0" collapsed="false">
      <c r="B4" s="52" t="s">
        <v>150</v>
      </c>
      <c r="C4" s="41" t="s">
        <v>118</v>
      </c>
      <c r="D4" s="42" t="s">
        <v>124</v>
      </c>
      <c r="E4" s="42" t="s">
        <v>125</v>
      </c>
      <c r="F4" s="43" t="s">
        <v>126</v>
      </c>
      <c r="G4" s="43" t="s">
        <v>127</v>
      </c>
      <c r="H4" s="43" t="s">
        <v>128</v>
      </c>
      <c r="I4" s="43" t="s">
        <v>129</v>
      </c>
    </row>
    <row r="5" customFormat="false" ht="15" hidden="false" customHeight="false" outlineLevel="0" collapsed="false">
      <c r="B5" s="8" t="s">
        <v>151</v>
      </c>
      <c r="C5" s="9" t="n">
        <v>252700</v>
      </c>
      <c r="D5" s="9" t="n">
        <f aca="false">C5*(1+Assumptions!$D$13+Assumptions!$D$14)</f>
        <v>270389</v>
      </c>
      <c r="E5" s="9" t="n">
        <f aca="false">D5*(1+Assumptions!$E$13+Assumptions!$E$14)</f>
        <v>289316.23</v>
      </c>
      <c r="F5" s="9" t="n">
        <f aca="false">C5*(1+Assumptions!$F$13+Assumptions!$F$14)</f>
        <v>269125.5</v>
      </c>
      <c r="G5" s="9" t="n">
        <f aca="false">F5*(1+Assumptions!$G$13+Assumptions!$G$14)</f>
        <v>286618.6575</v>
      </c>
      <c r="H5" s="9" t="n">
        <f aca="false">C5*(1+Assumptions!$H$13+Assumptions!$H$14)</f>
        <v>270389</v>
      </c>
      <c r="I5" s="9" t="n">
        <f aca="false">H5*(1+Assumptions!$I$13+Assumptions!$I$14)</f>
        <v>287964.285</v>
      </c>
    </row>
    <row r="6" customFormat="false" ht="15" hidden="false" customHeight="false" outlineLevel="0" collapsed="false">
      <c r="B6" s="31" t="s">
        <v>152</v>
      </c>
      <c r="C6" s="9" t="n">
        <f aca="false">C5*Assumptions!$C$20</f>
        <v>256692.66</v>
      </c>
      <c r="D6" s="9" t="n">
        <f aca="false">D5*Assumptions!$D$20</f>
        <v>274661.1462</v>
      </c>
      <c r="E6" s="9" t="n">
        <f aca="false">E5*Assumptions!$E$20</f>
        <v>293887.426434</v>
      </c>
      <c r="F6" s="9" t="n">
        <f aca="false">F5*Assumptions!$F$20</f>
        <v>273377.6829</v>
      </c>
      <c r="G6" s="9" t="n">
        <f aca="false">G5*Assumptions!$G$20</f>
        <v>291147.2322885</v>
      </c>
      <c r="H6" s="9" t="n">
        <f aca="false">H5*Assumptions!$H$20</f>
        <v>274661.1462</v>
      </c>
      <c r="I6" s="9" t="n">
        <f aca="false">I5*Assumptions!$I$20</f>
        <v>292514.120703</v>
      </c>
    </row>
    <row r="7" customFormat="false" ht="15" hidden="false" customHeight="false" outlineLevel="0" collapsed="false">
      <c r="B7" s="31" t="s">
        <v>153</v>
      </c>
      <c r="C7" s="9" t="n">
        <f aca="false">C5*Assumptions!$C$15</f>
        <v>61406.1</v>
      </c>
      <c r="D7" s="9" t="n">
        <f aca="false">D5*Assumptions!$D$15</f>
        <v>65704.527</v>
      </c>
      <c r="E7" s="9" t="n">
        <f aca="false">E5*Assumptions!$E$15</f>
        <v>70593.16012</v>
      </c>
      <c r="F7" s="9" t="n">
        <f aca="false">F5*Assumptions!$F$15</f>
        <v>65128.371</v>
      </c>
      <c r="G7" s="9" t="n">
        <f aca="false">G5*Assumptions!$G$15</f>
        <v>69361.715115</v>
      </c>
      <c r="H7" s="9" t="n">
        <f aca="false">H5*Assumptions!$H$15</f>
        <v>64893.36</v>
      </c>
      <c r="I7" s="9" t="n">
        <f aca="false">I5*Assumptions!$I$15</f>
        <v>68823.464115</v>
      </c>
    </row>
    <row r="8" customFormat="false" ht="15" hidden="false" customHeight="false" outlineLevel="0" collapsed="false">
      <c r="B8" s="31" t="s">
        <v>154</v>
      </c>
      <c r="C8" s="53" t="n">
        <f aca="false">C7/C5</f>
        <v>0.243</v>
      </c>
      <c r="D8" s="53" t="n">
        <f aca="false">D7/D5</f>
        <v>0.243</v>
      </c>
      <c r="E8" s="53" t="n">
        <f aca="false">E7/E5</f>
        <v>0.244</v>
      </c>
      <c r="F8" s="53" t="n">
        <f aca="false">F7/F5</f>
        <v>0.242</v>
      </c>
      <c r="G8" s="53" t="n">
        <f aca="false">G7/G5</f>
        <v>0.242</v>
      </c>
      <c r="H8" s="53" t="n">
        <f aca="false">H7/H5</f>
        <v>0.24</v>
      </c>
      <c r="I8" s="53" t="n">
        <f aca="false">I7/I5</f>
        <v>0.239</v>
      </c>
    </row>
    <row r="9" customFormat="false" ht="15" hidden="false" customHeight="false" outlineLevel="0" collapsed="false">
      <c r="B9" s="8" t="s">
        <v>155</v>
      </c>
      <c r="C9" s="54" t="n">
        <f aca="false">C5*Assumptions!$C$16</f>
        <v>14909.3</v>
      </c>
      <c r="D9" s="54" t="n">
        <f aca="false">D5*Assumptions!$D$16</f>
        <v>15952.951</v>
      </c>
      <c r="E9" s="54" t="n">
        <f aca="false">E5*Assumptions!$E$16</f>
        <v>17214.315685</v>
      </c>
      <c r="F9" s="54" t="n">
        <f aca="false">F5*Assumptions!$F$16</f>
        <v>15743.84175</v>
      </c>
      <c r="G9" s="54" t="n">
        <f aca="false">G5*Assumptions!$G$16</f>
        <v>16853.177061</v>
      </c>
      <c r="H9" s="54" t="n">
        <f aca="false">H5*Assumptions!$H$16</f>
        <v>15682.562</v>
      </c>
      <c r="I9" s="54" t="n">
        <f aca="false">I5*Assumptions!$I$16</f>
        <v>16471.557102</v>
      </c>
    </row>
    <row r="10" customFormat="false" ht="15" hidden="false" customHeight="false" outlineLevel="0" collapsed="false">
      <c r="B10" s="31" t="s">
        <v>156</v>
      </c>
      <c r="C10" s="53" t="n">
        <f aca="false">C9/C5</f>
        <v>0.059</v>
      </c>
      <c r="D10" s="53" t="n">
        <f aca="false">D9/D5</f>
        <v>0.059</v>
      </c>
      <c r="E10" s="53" t="n">
        <f aca="false">E9/E5</f>
        <v>0.0595</v>
      </c>
      <c r="F10" s="53" t="n">
        <f aca="false">F9/F5</f>
        <v>0.0585</v>
      </c>
      <c r="G10" s="53" t="n">
        <f aca="false">G9/G5</f>
        <v>0.0588</v>
      </c>
      <c r="H10" s="53" t="n">
        <f aca="false">H9/H5</f>
        <v>0.058</v>
      </c>
      <c r="I10" s="53" t="n">
        <f aca="false">I9/I5</f>
        <v>0.0572</v>
      </c>
    </row>
    <row r="11" customFormat="false" ht="15" hidden="false" customHeight="false" outlineLevel="0" collapsed="false">
      <c r="B11" s="31" t="s">
        <v>157</v>
      </c>
      <c r="C11" s="55" t="n">
        <f aca="false">-Assumptions!$C$17</f>
        <v>-4800</v>
      </c>
      <c r="D11" s="55" t="n">
        <f aca="false">-Assumptions!$D$17</f>
        <v>-4700</v>
      </c>
      <c r="E11" s="55" t="n">
        <f aca="false">-Assumptions!$E$17</f>
        <v>-4600</v>
      </c>
      <c r="F11" s="55" t="n">
        <f aca="false">-Assumptions!$F$17</f>
        <v>-4950</v>
      </c>
      <c r="G11" s="55" t="n">
        <f aca="false">-Assumptions!$G$17</f>
        <v>-4900</v>
      </c>
      <c r="H11" s="55" t="n">
        <f aca="false">-Assumptions!$H$17</f>
        <v>-5000</v>
      </c>
      <c r="I11" s="55" t="n">
        <f aca="false">-Assumptions!$I$17</f>
        <v>-5300</v>
      </c>
    </row>
    <row r="12" customFormat="false" ht="15" hidden="false" customHeight="false" outlineLevel="0" collapsed="false">
      <c r="B12" s="31" t="s">
        <v>158</v>
      </c>
      <c r="C12" s="9" t="n">
        <f aca="false">C9+C11</f>
        <v>10109.3</v>
      </c>
      <c r="D12" s="9" t="n">
        <f aca="false">D9+D11</f>
        <v>11252.951</v>
      </c>
      <c r="E12" s="9" t="n">
        <f aca="false">E9+E11</f>
        <v>12614.315685</v>
      </c>
      <c r="F12" s="9" t="n">
        <f aca="false">F9+F11</f>
        <v>10793.84175</v>
      </c>
      <c r="G12" s="9" t="n">
        <f aca="false">G9+G11</f>
        <v>11953.177061</v>
      </c>
      <c r="H12" s="9" t="n">
        <f aca="false">H9+H11</f>
        <v>10682.562</v>
      </c>
      <c r="I12" s="9" t="n">
        <f aca="false">I9+I11</f>
        <v>11171.557102</v>
      </c>
    </row>
    <row r="13" customFormat="false" ht="15" hidden="false" customHeight="false" outlineLevel="0" collapsed="false">
      <c r="B13" s="31" t="s">
        <v>159</v>
      </c>
      <c r="C13" s="9" t="n">
        <f aca="false">-C12*Assumptions!$C$18</f>
        <v>-2729.511</v>
      </c>
      <c r="D13" s="9" t="n">
        <f aca="false">-D12*Assumptions!$D$18</f>
        <v>-3038.29677</v>
      </c>
      <c r="E13" s="9" t="n">
        <f aca="false">-E12*Assumptions!$E$18</f>
        <v>-3405.86523495</v>
      </c>
      <c r="F13" s="9" t="n">
        <f aca="false">-F12*Assumptions!$F$18</f>
        <v>-2914.3372725</v>
      </c>
      <c r="G13" s="9" t="n">
        <f aca="false">-G12*Assumptions!$G$18</f>
        <v>-3227.35780647</v>
      </c>
      <c r="H13" s="9" t="n">
        <f aca="false">-H12*Assumptions!$H$18</f>
        <v>-2884.29174</v>
      </c>
      <c r="I13" s="9" t="n">
        <f aca="false">-I12*Assumptions!$I$18</f>
        <v>-3016.32041754</v>
      </c>
    </row>
    <row r="14" customFormat="false" ht="15" hidden="false" customHeight="false" outlineLevel="0" collapsed="false">
      <c r="B14" s="8" t="s">
        <v>160</v>
      </c>
      <c r="C14" s="54" t="n">
        <f aca="false">C12+C13</f>
        <v>7379.789</v>
      </c>
      <c r="D14" s="54" t="n">
        <f aca="false">D12+D13</f>
        <v>8214.65423</v>
      </c>
      <c r="E14" s="54" t="n">
        <f aca="false">E12+E13</f>
        <v>9208.45045005</v>
      </c>
      <c r="F14" s="54" t="n">
        <f aca="false">F12+F13</f>
        <v>7879.5044775</v>
      </c>
      <c r="G14" s="54" t="n">
        <f aca="false">G12+G13</f>
        <v>8725.81925453</v>
      </c>
      <c r="H14" s="54" t="n">
        <f aca="false">H12+H13</f>
        <v>7798.27026</v>
      </c>
      <c r="I14" s="54" t="n">
        <f aca="false">I12+I13</f>
        <v>8155.23668446</v>
      </c>
    </row>
    <row r="15" customFormat="false" ht="15" hidden="false" customHeight="false" outlineLevel="0" collapsed="false">
      <c r="B15" s="8" t="s">
        <v>161</v>
      </c>
      <c r="C15" s="56" t="n">
        <f aca="false">C14/Assumptions!$C$21*100</f>
        <v>1367.13393849574</v>
      </c>
      <c r="D15" s="56" t="n">
        <f aca="false">D14/Assumptions!$D$21*100</f>
        <v>1521.79589292331</v>
      </c>
      <c r="E15" s="56" t="n">
        <f aca="false">E14/Assumptions!$E$21*100</f>
        <v>1705.90041683031</v>
      </c>
      <c r="F15" s="56" t="n">
        <f aca="false">F14/Assumptions!$F$21*100</f>
        <v>1459.70812847351</v>
      </c>
      <c r="G15" s="56" t="n">
        <f aca="false">G14/Assumptions!$G$21*100</f>
        <v>1616.49115497036</v>
      </c>
      <c r="H15" s="56" t="n">
        <f aca="false">H14/Assumptions!$H$21*100</f>
        <v>1444.65918117821</v>
      </c>
      <c r="I15" s="56" t="n">
        <f aca="false">I14/Assumptions!$I$21*100</f>
        <v>1510.78856696184</v>
      </c>
    </row>
    <row r="16" customFormat="false" ht="15" hidden="false" customHeight="false" outlineLevel="0" collapsed="false">
      <c r="B16" s="31" t="s">
        <v>162</v>
      </c>
      <c r="C16" s="57" t="s">
        <v>163</v>
      </c>
      <c r="D16" s="53" t="n">
        <f aca="false">D15/C15-1</f>
        <v>0.113128604354407</v>
      </c>
      <c r="E16" s="53" t="n">
        <f aca="false">E15/D15-1</f>
        <v>0.120978460227899</v>
      </c>
      <c r="F16" s="53" t="n">
        <f aca="false">F15/C15-1</f>
        <v>0.0677140603206954</v>
      </c>
      <c r="G16" s="53" t="n">
        <f aca="false">G15/F15-1</f>
        <v>0.107407106556847</v>
      </c>
      <c r="H16" s="53" t="n">
        <f aca="false">H15/C15-1</f>
        <v>0.0567063990582928</v>
      </c>
      <c r="I16" s="53" t="n">
        <f aca="false">I15/H15-1</f>
        <v>0.0457750773643999</v>
      </c>
    </row>
    <row r="17" customFormat="false" ht="15" hidden="false" customHeight="false" outlineLevel="0" collapsed="false">
      <c r="B17" s="31" t="s">
        <v>164</v>
      </c>
      <c r="C17" s="12" t="n">
        <f aca="false">C15/Assumptions!$C$19</f>
        <v>781.219393426137</v>
      </c>
      <c r="D17" s="12" t="n">
        <f aca="false">D15/Assumptions!$D$19</f>
        <v>869.597653099031</v>
      </c>
      <c r="E17" s="12" t="n">
        <f aca="false">E15/Assumptions!$E$19</f>
        <v>974.800238188747</v>
      </c>
      <c r="F17" s="12" t="n">
        <f aca="false">F15/Assumptions!$F$19</f>
        <v>834.118930556291</v>
      </c>
      <c r="G17" s="12" t="n">
        <f aca="false">G15/Assumptions!$G$19</f>
        <v>923.709231411634</v>
      </c>
      <c r="H17" s="12" t="n">
        <f aca="false">H15/Assumptions!$H$19</f>
        <v>825.519532101837</v>
      </c>
      <c r="I17" s="12" t="n">
        <f aca="false">I15/Assumptions!$I$19</f>
        <v>863.307752549621</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9" min="3" style="1" width="13"/>
  </cols>
  <sheetData>
    <row r="1" customFormat="false" ht="24" hidden="false" customHeight="true" outlineLevel="0" collapsed="false">
      <c r="A1" s="2" t="s">
        <v>165</v>
      </c>
      <c r="B1" s="2"/>
      <c r="C1" s="2"/>
      <c r="D1" s="2"/>
      <c r="E1" s="2"/>
      <c r="F1" s="2"/>
      <c r="G1" s="2"/>
      <c r="H1" s="2"/>
      <c r="I1" s="2"/>
    </row>
    <row r="2" customFormat="false" ht="15" hidden="false" customHeight="true" outlineLevel="0" collapsed="false">
      <c r="A2" s="3" t="s">
        <v>149</v>
      </c>
      <c r="B2" s="3"/>
      <c r="C2" s="3"/>
      <c r="D2" s="3"/>
      <c r="E2" s="3"/>
      <c r="F2" s="3"/>
      <c r="G2" s="3"/>
      <c r="H2" s="3"/>
      <c r="I2" s="3"/>
    </row>
    <row r="4" customFormat="false" ht="25.5" hidden="false" customHeight="true" outlineLevel="0" collapsed="false">
      <c r="B4" s="52" t="s">
        <v>150</v>
      </c>
      <c r="C4" s="41" t="s">
        <v>118</v>
      </c>
      <c r="D4" s="42" t="s">
        <v>124</v>
      </c>
      <c r="E4" s="42" t="s">
        <v>125</v>
      </c>
      <c r="F4" s="43" t="s">
        <v>126</v>
      </c>
      <c r="G4" s="43" t="s">
        <v>127</v>
      </c>
      <c r="H4" s="43" t="s">
        <v>128</v>
      </c>
      <c r="I4" s="43" t="s">
        <v>129</v>
      </c>
    </row>
    <row r="5" customFormat="false" ht="15" hidden="false" customHeight="false" outlineLevel="0" collapsed="false">
      <c r="B5" s="8" t="s">
        <v>166</v>
      </c>
      <c r="C5" s="9" t="n">
        <v>132410</v>
      </c>
      <c r="D5" s="9" t="n">
        <f aca="false">C5*(1+Assumptions!$D$26)</f>
        <v>137706.4</v>
      </c>
      <c r="E5" s="9" t="n">
        <f aca="false">D5*(1+Assumptions!$E$26)</f>
        <v>143903.188</v>
      </c>
      <c r="F5" s="9" t="n">
        <f aca="false">C5*(1+Assumptions!$F$26)</f>
        <v>136382.3</v>
      </c>
      <c r="G5" s="9" t="n">
        <f aca="false">F5*(1+Assumptions!$G$26)</f>
        <v>141155.6805</v>
      </c>
      <c r="H5" s="9" t="n">
        <f aca="false">C5*(1+Assumptions!$H$26)</f>
        <v>135720.25</v>
      </c>
      <c r="I5" s="9" t="n">
        <f aca="false">H5*(1+Assumptions!$I$26)</f>
        <v>139113.25625</v>
      </c>
    </row>
    <row r="6" customFormat="false" ht="15" hidden="false" customHeight="false" outlineLevel="0" collapsed="false">
      <c r="B6" s="31" t="s">
        <v>167</v>
      </c>
      <c r="C6" s="57" t="s">
        <v>163</v>
      </c>
      <c r="D6" s="53" t="n">
        <f aca="false">D5/C5-1</f>
        <v>0.04</v>
      </c>
      <c r="E6" s="53" t="n">
        <f aca="false">E5/D5-1</f>
        <v>0.0449999999999999</v>
      </c>
      <c r="F6" s="53" t="n">
        <f aca="false">F5/C5-1</f>
        <v>0.03</v>
      </c>
      <c r="G6" s="53" t="n">
        <f aca="false">G5/F5-1</f>
        <v>0.0349999999999999</v>
      </c>
      <c r="H6" s="53" t="n">
        <f aca="false">H5/C5-1</f>
        <v>0.0249999999999999</v>
      </c>
      <c r="I6" s="53" t="n">
        <f aca="false">I5/H5-1</f>
        <v>0.0249999999999999</v>
      </c>
    </row>
    <row r="7" customFormat="false" ht="15" hidden="false" customHeight="false" outlineLevel="0" collapsed="false">
      <c r="B7" s="31" t="s">
        <v>153</v>
      </c>
      <c r="C7" s="9" t="n">
        <f aca="false">C5*Assumptions!$C$27</f>
        <v>14300.28</v>
      </c>
      <c r="D7" s="9" t="n">
        <f aca="false">D5*Assumptions!$D$27</f>
        <v>15009.9976</v>
      </c>
      <c r="E7" s="9" t="n">
        <f aca="false">E5*Assumptions!$E$27</f>
        <v>15829.35068</v>
      </c>
      <c r="F7" s="9" t="n">
        <f aca="false">F5*Assumptions!$F$27</f>
        <v>14729.2884</v>
      </c>
      <c r="G7" s="9" t="n">
        <f aca="false">G5*Assumptions!$G$27</f>
        <v>15385.9691745</v>
      </c>
      <c r="H7" s="9" t="n">
        <f aca="false">H5*Assumptions!$H$27</f>
        <v>14386.3465</v>
      </c>
      <c r="I7" s="9" t="n">
        <f aca="false">I5*Assumptions!$I$27</f>
        <v>14746.0051625</v>
      </c>
    </row>
    <row r="8" customFormat="false" ht="15" hidden="false" customHeight="false" outlineLevel="0" collapsed="false">
      <c r="B8" s="8" t="s">
        <v>168</v>
      </c>
      <c r="C8" s="54" t="n">
        <f aca="false">C5*Assumptions!$C$28</f>
        <v>2780.61</v>
      </c>
      <c r="D8" s="54" t="n">
        <f aca="false">D5*Assumptions!$D$28</f>
        <v>2203.3024</v>
      </c>
      <c r="E8" s="54" t="n">
        <f aca="false">E5*Assumptions!$E$28</f>
        <v>3021.966948</v>
      </c>
      <c r="F8" s="54" t="n">
        <f aca="false">F5*Assumptions!$F$28</f>
        <v>1909.3522</v>
      </c>
      <c r="G8" s="54" t="n">
        <f aca="false">G5*Assumptions!$G$28</f>
        <v>2540.802249</v>
      </c>
      <c r="H8" s="54" t="n">
        <f aca="false">H5*Assumptions!$H$28</f>
        <v>1628.643</v>
      </c>
      <c r="I8" s="54" t="n">
        <f aca="false">I5*Assumptions!$I$28</f>
        <v>1947.5855875</v>
      </c>
    </row>
    <row r="9" customFormat="false" ht="15" hidden="false" customHeight="false" outlineLevel="0" collapsed="false">
      <c r="B9" s="31" t="s">
        <v>169</v>
      </c>
      <c r="C9" s="58" t="n">
        <f aca="false">Assumptions!$C$28</f>
        <v>0.021</v>
      </c>
      <c r="D9" s="58" t="n">
        <f aca="false">Assumptions!$D$28</f>
        <v>0.016</v>
      </c>
      <c r="E9" s="58" t="n">
        <f aca="false">Assumptions!$E$28</f>
        <v>0.021</v>
      </c>
      <c r="F9" s="58" t="n">
        <f aca="false">Assumptions!$F$28</f>
        <v>0.014</v>
      </c>
      <c r="G9" s="58" t="n">
        <f aca="false">Assumptions!$G$28</f>
        <v>0.018</v>
      </c>
      <c r="H9" s="58" t="n">
        <f aca="false">Assumptions!$H$28</f>
        <v>0.012</v>
      </c>
      <c r="I9" s="58" t="n">
        <f aca="false">Assumptions!$I$28</f>
        <v>0.014</v>
      </c>
    </row>
    <row r="10" customFormat="false" ht="15" hidden="false" customHeight="false" outlineLevel="0" collapsed="false">
      <c r="B10" s="31" t="s">
        <v>170</v>
      </c>
      <c r="C10" s="55" t="n">
        <f aca="false">-Assumptions!$C$29</f>
        <v>-720</v>
      </c>
      <c r="D10" s="55" t="n">
        <f aca="false">-Assumptions!$D$29</f>
        <v>-620</v>
      </c>
      <c r="E10" s="55" t="n">
        <f aca="false">-Assumptions!$E$29</f>
        <v>-520</v>
      </c>
      <c r="F10" s="55" t="n">
        <f aca="false">-Assumptions!$F$29</f>
        <v>-720</v>
      </c>
      <c r="G10" s="55" t="n">
        <f aca="false">-Assumptions!$G$29</f>
        <v>-650</v>
      </c>
      <c r="H10" s="55" t="n">
        <f aca="false">-Assumptions!$H$29</f>
        <v>-850</v>
      </c>
      <c r="I10" s="55" t="n">
        <f aca="false">-Assumptions!$I$29</f>
        <v>-900</v>
      </c>
    </row>
    <row r="11" customFormat="false" ht="15" hidden="false" customHeight="false" outlineLevel="0" collapsed="false">
      <c r="B11" s="8" t="s">
        <v>171</v>
      </c>
      <c r="C11" s="59" t="n">
        <f aca="false">Assumptions!$C$30</f>
        <v>795.8</v>
      </c>
      <c r="D11" s="59" t="n">
        <f aca="false">Assumptions!$D$30</f>
        <v>470</v>
      </c>
      <c r="E11" s="59" t="n">
        <f aca="false">Assumptions!$E$30</f>
        <v>640</v>
      </c>
      <c r="F11" s="59" t="n">
        <f aca="false">Assumptions!$F$30</f>
        <v>420</v>
      </c>
      <c r="G11" s="59" t="n">
        <f aca="false">Assumptions!$G$30</f>
        <v>540</v>
      </c>
      <c r="H11" s="59" t="n">
        <f aca="false">Assumptions!$H$30</f>
        <v>380</v>
      </c>
      <c r="I11" s="59" t="n">
        <f aca="false">Assumptions!$I$30</f>
        <v>430</v>
      </c>
    </row>
    <row r="12" customFormat="false" ht="15" hidden="false" customHeight="false" outlineLevel="0" collapsed="false">
      <c r="B12" s="31" t="s">
        <v>162</v>
      </c>
      <c r="C12" s="57" t="s">
        <v>163</v>
      </c>
      <c r="D12" s="53" t="n">
        <f aca="false">D11/C11-1</f>
        <v>-0.40939934656949</v>
      </c>
      <c r="E12" s="53" t="n">
        <f aca="false">E11/D11-1</f>
        <v>0.361702127659574</v>
      </c>
      <c r="F12" s="53" t="n">
        <f aca="false">F11/C11-1</f>
        <v>-0.472229203317416</v>
      </c>
      <c r="G12" s="53" t="n">
        <f aca="false">G11/F11-1</f>
        <v>0.285714285714286</v>
      </c>
      <c r="H12" s="53" t="n">
        <f aca="false">H11/C11-1</f>
        <v>-0.522493088715758</v>
      </c>
      <c r="I12" s="53" t="n">
        <f aca="false">I11/H11-1</f>
        <v>0.131578947368421</v>
      </c>
    </row>
    <row r="13" customFormat="false" ht="15" hidden="false" customHeight="false" outlineLevel="0" collapsed="false">
      <c r="B13" s="31" t="s">
        <v>172</v>
      </c>
      <c r="C13" s="60" t="n">
        <f aca="false">C11*Assumptions!$C$34/100</f>
        <v>1535.894</v>
      </c>
      <c r="D13" s="60" t="n">
        <f aca="false">D11*Assumptions!$D$34/100</f>
        <v>907.1</v>
      </c>
      <c r="E13" s="60" t="n">
        <f aca="false">E11*Assumptions!$E$34/100</f>
        <v>1235.2</v>
      </c>
      <c r="F13" s="60" t="n">
        <f aca="false">F11*Assumptions!$F$34/100</f>
        <v>810.6</v>
      </c>
      <c r="G13" s="60" t="n">
        <f aca="false">G11*Assumptions!$G$34/100</f>
        <v>1042.2</v>
      </c>
      <c r="H13" s="60" t="n">
        <f aca="false">H11*Assumptions!$H$34/100</f>
        <v>733.4</v>
      </c>
      <c r="I13" s="60" t="n">
        <f aca="false">I11*Assumptions!$I$34/100</f>
        <v>829.9</v>
      </c>
    </row>
    <row r="14" customFormat="false" ht="15" hidden="false" customHeight="false" outlineLevel="0" collapsed="false">
      <c r="B14" s="31" t="s">
        <v>173</v>
      </c>
      <c r="C14" s="55" t="n">
        <f aca="false">Assumptions!$C$31</f>
        <v>5400</v>
      </c>
      <c r="D14" s="55" t="n">
        <f aca="false">Assumptions!$D$31</f>
        <v>4700</v>
      </c>
      <c r="E14" s="55" t="n">
        <f aca="false">Assumptions!$E$31</f>
        <v>3700</v>
      </c>
      <c r="F14" s="55" t="n">
        <f aca="false">Assumptions!$F$31</f>
        <v>5000</v>
      </c>
      <c r="G14" s="55" t="n">
        <f aca="false">Assumptions!$G$31</f>
        <v>4400</v>
      </c>
      <c r="H14" s="55" t="n">
        <f aca="false">Assumptions!$H$31</f>
        <v>5700</v>
      </c>
      <c r="I14" s="55" t="n">
        <f aca="false">Assumptions!$I$31</f>
        <v>5500</v>
      </c>
    </row>
    <row r="15" customFormat="false" ht="15" hidden="false" customHeight="false" outlineLevel="0" collapsed="false">
      <c r="B15" s="8" t="s">
        <v>174</v>
      </c>
      <c r="C15" s="61" t="n">
        <f aca="false">Assumptions!$C$32</f>
        <v>1.74</v>
      </c>
      <c r="D15" s="61" t="n">
        <f aca="false">Assumptions!$D$32</f>
        <v>1.5</v>
      </c>
      <c r="E15" s="61" t="n">
        <f aca="false">Assumptions!$E$32</f>
        <v>1.1</v>
      </c>
      <c r="F15" s="61" t="n">
        <f aca="false">Assumptions!$F$32</f>
        <v>1.6</v>
      </c>
      <c r="G15" s="61" t="n">
        <f aca="false">Assumptions!$G$32</f>
        <v>1.4</v>
      </c>
      <c r="H15" s="61" t="n">
        <f aca="false">Assumptions!$H$32</f>
        <v>1.9</v>
      </c>
      <c r="I15" s="61" t="n">
        <f aca="false">Assumptions!$I$32</f>
        <v>1.8</v>
      </c>
    </row>
    <row r="16" customFormat="false" ht="15" hidden="false" customHeight="false" outlineLevel="0" collapsed="false">
      <c r="B16" s="31" t="s">
        <v>145</v>
      </c>
      <c r="C16" s="62" t="n">
        <f aca="false">Assumptions!$C$33</f>
        <v>0</v>
      </c>
      <c r="D16" s="62" t="n">
        <f aca="false">Assumptions!$D$33</f>
        <v>0</v>
      </c>
      <c r="E16" s="62" t="n">
        <f aca="false">Assumptions!$E$33</f>
        <v>120</v>
      </c>
      <c r="F16" s="62" t="n">
        <f aca="false">Assumptions!$F$33</f>
        <v>0</v>
      </c>
      <c r="G16" s="62" t="n">
        <f aca="false">Assumptions!$G$33</f>
        <v>60</v>
      </c>
      <c r="H16" s="62" t="n">
        <f aca="false">Assumptions!$H$33</f>
        <v>0</v>
      </c>
      <c r="I16" s="62" t="n">
        <f aca="false">Assumptions!$I$33</f>
        <v>0</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2026-06-17T20:53:49Z</dcterms:created>
  <dc:creator>openpyxl</dc:creator>
  <dc:description/>
  <dc:language>en-US</dc:language>
  <cp:lastModifiedBy/>
  <dcterms:modified xsi:type="dcterms:W3CDTF">2026-06-17T20:53:49Z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