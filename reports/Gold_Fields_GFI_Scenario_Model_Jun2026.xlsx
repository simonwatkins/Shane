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Sources" sheetId="1" state="visible" r:id="rId3"/>
    <sheet name="Growth Scorecard" sheetId="2" state="visible" r:id="rId4"/>
    <sheet name="Assumptions" sheetId="3" state="visible" r:id="rId5"/>
    <sheet name="Scenario Model" sheetId="4" state="visible" r:id="rId6"/>
    <sheet name="Macro Deck" sheetId="5" state="visible" r:id="rId7"/>
    <sheet name="FY2025 Actual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5" authorId="0">
      <text>
        <r>
          <rPr>
            <sz val="10"/>
            <rFont val="Arial"/>
            <family val="2"/>
          </rPr>
          <t xml:space="preserve">Source: GF FY2025 results — avg realised gold price US$3,496/oz (rev US$8,751m / 2.503Moz sold).</t>
        </r>
      </text>
    </comment>
    <comment ref="B6" authorId="0">
      <text>
        <r>
          <rPr>
            <sz val="10"/>
            <rFont val="Arial"/>
            <family val="2"/>
          </rPr>
          <t xml:space="preserve">Source: GF FY2025 results — attributable production 2.438Moz (+18%).</t>
        </r>
      </text>
    </comment>
    <comment ref="B7" authorId="0">
      <text>
        <r>
          <rPr>
            <sz val="10"/>
            <rFont val="Arial"/>
            <family val="2"/>
          </rPr>
          <t xml:space="preserve">Source: GF FY2025 results — group AISC US$1,645/oz (+1%).</t>
        </r>
      </text>
    </comment>
    <comment ref="B8" authorId="0">
      <text>
        <r>
          <rPr>
            <sz val="10"/>
            <rFont val="Arial"/>
            <family val="2"/>
          </rPr>
          <t xml:space="preserve">Source: GF FY2025 results — group AIC US$1,927/oz (+3%).</t>
        </r>
      </text>
    </comment>
    <comment ref="B9" authorId="0">
      <text>
        <r>
          <rPr>
            <sz val="10"/>
            <rFont val="Arial"/>
            <family val="2"/>
          </rPr>
          <t xml:space="preserve">Source: GF FY2025 results — sustaining capex US$1,029m.</t>
        </r>
      </text>
    </comment>
  </commentList>
</comments>
</file>

<file path=xl/sharedStrings.xml><?xml version="1.0" encoding="utf-8"?>
<sst xmlns="http://schemas.openxmlformats.org/spreadsheetml/2006/main" count="258" uniqueCount="224">
  <si>
    <t xml:space="preserve">GOLD FIELDS LIMITED  (JSE: GFI  •  NYSE: GFI)</t>
  </si>
  <si>
    <t xml:space="preserve">Companion scenario model — 12–18 month outlook under Strait-of-Hormuz scenarios</t>
  </si>
  <si>
    <t xml:space="preserve">Investment Committee working model  •  17 June 2026  •  Reporting currency: US$ (Dec year-end)</t>
  </si>
  <si>
    <t xml:space="preserve">HOW TO USE THIS MODEL</t>
  </si>
  <si>
    <t xml:space="preserve">• Change only the BLUE cells on the 'Assumptions' tab. Every output on 'Scenario Model' re-runs automatically.</t>
  </si>
  <si>
    <t xml:space="preserve">• The 'Growth Scorecard' tab tracks the company-specific growth catalysts (Salares Norte, Windfall FID, reserves,</t>
  </si>
  <si>
    <t xml:space="preserve">   AISC, Tarkwa) with a quarterly RAG check — update the quarter columns each results cycle.</t>
  </si>
  <si>
    <t xml:space="preserve">• Three scenarios run side by side: Scenario A (Strait of Hormuz remains open / peace holds), a Base case,</t>
  </si>
  <si>
    <t xml:space="preserve">   and Scenario B (Hormuz closes again and stays closed). FY2025A is the actual, used to calibrate the method.</t>
  </si>
  <si>
    <t xml:space="preserve">• Volume is held near company guidance (2.40–2.60 Moz attributable) across scenarios to isolate the gold-price</t>
  </si>
  <si>
    <t xml:space="preserve">   and cost channels — the two levers the Hormuz outcome actually moves for a gold producer.</t>
  </si>
  <si>
    <t xml:space="preserve">METHODOLOGY (transparent, calibrated to FY2025 actuals):</t>
  </si>
  <si>
    <t xml:space="preserve">• Revenue (US$m)            = realised gold price (US$/oz) × attributable production (Moz).</t>
  </si>
  <si>
    <t xml:space="preserve">• Group AISC margin         = (realised price − AISC) × production.</t>
  </si>
  <si>
    <t xml:space="preserve">• EBITDA (e)                = AISC margin + sustaining capex  (AISC already deducts sustaining capex &amp; royalties;</t>
  </si>
  <si>
    <t xml:space="preserve">                               adding sustaining capex back rebuilds an EBITDA-equivalent). FY2025A check: model</t>
  </si>
  <si>
    <t xml:space="preserve">                               US$5,542m vs reported adjusted EBITDA US$5,637m = 98.3% — within 2%.</t>
  </si>
  <si>
    <t xml:space="preserve">• Post-tax all-in FCF proxy = (realised price − AIC) × production × (1 − cash tax rate).</t>
  </si>
  <si>
    <t xml:space="preserve">• Model uses ATTRIBUTABLE oz (matches guidance); reported revenue is on a managed basis (~3% higher), so</t>
  </si>
  <si>
    <t xml:space="preserve">   modelled revenue/EBITDA are ~3% conservative vs the equivalent managed-basis figure.</t>
  </si>
  <si>
    <t xml:space="preserve">• All forward figures are analyst estimates (e) — NOT company guidance or forecasts of actual results.</t>
  </si>
  <si>
    <t xml:space="preserve">KEY SOURCES</t>
  </si>
  <si>
    <t xml:space="preserve">• Gold Fields FY2025 reviewed results (SEC Form 6-K)</t>
  </si>
  <si>
    <t xml:space="preserve">sec.gov EDGAR CIK 1172724, filed 19–20 Feb 2026</t>
  </si>
  <si>
    <t xml:space="preserve">• Gold Fields Q1 2026 operational update (SEC Form 6-K)</t>
  </si>
  <si>
    <t xml:space="preserve">filed 7 May 2026 — FY2026 guidance reaffirmed</t>
  </si>
  <si>
    <t xml:space="preserve">• Gold Fields 2025 Integrated Annual Report / GRR</t>
  </si>
  <si>
    <t xml:space="preserve">goldfields.com/investors (risks &amp; remuneration)</t>
  </si>
  <si>
    <t xml:space="preserve">• Gold price / spot &amp; records</t>
  </si>
  <si>
    <t xml:space="preserve">Fortune, CBS, J.P. Morgan, WGC — Jan ATH ~US$5,589; mid-Jun ~US$4,340/oz</t>
  </si>
  <si>
    <t xml:space="preserve">• Gold forecasts</t>
  </si>
  <si>
    <t xml:space="preserve">JPM YE US$6,000; BofA US$6,000; Goldman US$5,400; World Bank avg US$4,700 (2026)</t>
  </si>
  <si>
    <t xml:space="preserve">• Brent / Hormuz</t>
  </si>
  <si>
    <t xml:space="preserve">CNN, Fortune, World Bank CMO Apr-2026; Citi US$150, Macquarie US$200 (extended-closure)</t>
  </si>
  <si>
    <t xml:space="preserve">• Oil→AISC transmission</t>
  </si>
  <si>
    <t xml:space="preserve">Jefferies (Northern Miner, Jun-2026): +US$20–30/bbl ≈ +US$85–160/oz AISC</t>
  </si>
  <si>
    <t xml:space="preserve">For informational purposes only; not investment advice. Prices obtained via search may be delayed; no live JSE/COMEX feed. (e) = analyst estimate.</t>
  </si>
  <si>
    <t xml:space="preserve">GOLD FIELDS — GROWTH SCORECARD (next 12–18 months)</t>
  </si>
  <si>
    <t xml:space="preserve">Company-specific growth catalysts. RAG: Green on-track / Amber watch / Red behind / Grey pending. Update the quarter columns each results cycle. (Macro/scenario indicators live on 'Scenario Model' &amp; 'Macro Deck'.)</t>
  </si>
  <si>
    <t xml:space="preserve">Growth indicator</t>
  </si>
  <si>
    <t xml:space="preserve">On-track signal / threshold</t>
  </si>
  <si>
    <t xml:space="preserve">FY2025A</t>
  </si>
  <si>
    <t xml:space="preserve">FY2026 guidance / target</t>
  </si>
  <si>
    <t xml:space="preserve">Latest read (Q1 2026)</t>
  </si>
  <si>
    <t xml:space="preserve">Q2'26</t>
  </si>
  <si>
    <t xml:space="preserve">Q3'26</t>
  </si>
  <si>
    <t xml:space="preserve">Q4'26</t>
  </si>
  <si>
    <t xml:space="preserve">1H'27</t>
  </si>
  <si>
    <t xml:space="preserve">Production &amp; project delivery</t>
  </si>
  <si>
    <t xml:space="preserve">Salares Norte run-rate</t>
  </si>
  <si>
    <t xml:space="preserve">at least 525koz @ AISC &lt;US$600/oz</t>
  </si>
  <si>
    <t xml:space="preserve">397koz @ $1,144</t>
  </si>
  <si>
    <t xml:space="preserve">525-550koz @ ~$450-600/oz</t>
  </si>
  <si>
    <t xml:space="preserve">173koz Q1; AIC ~$165/oz — ahead</t>
  </si>
  <si>
    <t xml:space="preserve">Windfall (Canada) FID</t>
  </si>
  <si>
    <t xml:space="preserve">Sanctioned mid-2026 on-plan; reserves updated</t>
  </si>
  <si>
    <t xml:space="preserve">Pre-FID (acq. 2024)</t>
  </si>
  <si>
    <t xml:space="preserve">FID + district feasibility/reserves</t>
  </si>
  <si>
    <t xml:space="preserve">EIA hearings done; Cree IBA in principle</t>
  </si>
  <si>
    <t xml:space="preserve">Group attributable production</t>
  </si>
  <si>
    <t xml:space="preserve">at least 2.50Moz (mid-upper of guidance)</t>
  </si>
  <si>
    <t xml:space="preserve">2.438Moz</t>
  </si>
  <si>
    <t xml:space="preserve">2.40-2.60Moz</t>
  </si>
  <si>
    <t xml:space="preserve">633koz Q1 (+15% YoY) — on track</t>
  </si>
  <si>
    <t xml:space="preserve">Margin &amp; cash growth</t>
  </si>
  <si>
    <t xml:space="preserve">Group AISC</t>
  </si>
  <si>
    <t xml:space="preserve">at or below US$1,900/oz (mid-guidance)</t>
  </si>
  <si>
    <t xml:space="preserve">US$1,645/oz</t>
  </si>
  <si>
    <t xml:space="preserve">US$1,800-2,000/oz</t>
  </si>
  <si>
    <t xml:space="preserve">US$1,829 Q1 (FX headwind) — watch</t>
  </si>
  <si>
    <t xml:space="preserve">Adjusted free cash flow</t>
  </si>
  <si>
    <t xml:space="preserve">Grow despite the capex step-up</t>
  </si>
  <si>
    <t xml:space="preserve">US$2,970m</t>
  </si>
  <si>
    <t xml:space="preserve">capex US$1.9-2.1bn</t>
  </si>
  <si>
    <t xml:space="preserve">Net debt US$1,304m post-dividend</t>
  </si>
  <si>
    <t xml:space="preserve">Net debt / adj. EBITDA</t>
  </si>
  <si>
    <t xml:space="preserve">below 0.5x through the cycle</t>
  </si>
  <si>
    <t xml:space="preserve">0.26x</t>
  </si>
  <si>
    <t xml:space="preserve">—</t>
  </si>
  <si>
    <t xml:space="preserve">0.19x Q1 — strong</t>
  </si>
  <si>
    <t xml:space="preserve">Structural / pipeline growth</t>
  </si>
  <si>
    <t xml:space="preserve">Reserve &amp; resource replacement</t>
  </si>
  <si>
    <t xml:space="preserve">Replacement &gt;100%; district additions</t>
  </si>
  <si>
    <t xml:space="preserve">Annual SAMREC declaration</t>
  </si>
  <si>
    <t xml:space="preserve">2025 IAR + Windfall update</t>
  </si>
  <si>
    <t xml:space="preserve">Pending annual declaration</t>
  </si>
  <si>
    <t xml:space="preserve">Cerro Corona life extension</t>
  </si>
  <si>
    <t xml:space="preserve">LOM extended toward ~2040</t>
  </si>
  <si>
    <t xml:space="preserve">Studies underway</t>
  </si>
  <si>
    <t xml:space="preserve">Nueva Esperanza exploration</t>
  </si>
  <si>
    <t xml:space="preserve">Studies ongoing — pending</t>
  </si>
  <si>
    <t xml:space="preserve">Jurisdictional gates</t>
  </si>
  <si>
    <t xml:space="preserve">Tarkwa lease renewal</t>
  </si>
  <si>
    <t xml:space="preserve">Renewed on workable terms (exp. Apr 2027)</t>
  </si>
  <si>
    <t xml:space="preserve">~470koz at stake</t>
  </si>
  <si>
    <t xml:space="preserve">Renewal application in process</t>
  </si>
  <si>
    <t xml:space="preserve">'Not automatic'; new royalty regime — watch</t>
  </si>
  <si>
    <t xml:space="preserve">Australian recovery (Gruyere/Agnew)</t>
  </si>
  <si>
    <t xml:space="preserve">H2-2026 normalisation</t>
  </si>
  <si>
    <t xml:space="preserve">Recovery plans in place</t>
  </si>
  <si>
    <t xml:space="preserve">Gruyere -25%, Agnew seismic Q1 — watch</t>
  </si>
  <si>
    <t xml:space="preserve">Legend:</t>
  </si>
  <si>
    <t xml:space="preserve">On-track</t>
  </si>
  <si>
    <t xml:space="preserve">Watch</t>
  </si>
  <si>
    <t xml:space="preserve">Behind</t>
  </si>
  <si>
    <t xml:space="preserve">Pending</t>
  </si>
  <si>
    <t xml:space="preserve">For informational purposes only; not investment advice. Latest read = Q1 2026 operational update (7 May 2026). Group volume growth is broadly flat in 2026 (Salares Norte offsets the Damang handover and Cerro Corona's move to stockpiles); the genuine growth is margin/FCF and the de-risking pipeline (Windfall FID, reserves).</t>
  </si>
  <si>
    <t xml:space="preserve">GOLD FIELDS — SCENARIO ASSUMPTIONS  (edit BLUE cells)</t>
  </si>
  <si>
    <t xml:space="preserve">All forward figures are analyst estimates (e). FY2025A = reported actual (calibration).</t>
  </si>
  <si>
    <t xml:space="preserve">Scenario A — Hormuz open</t>
  </si>
  <si>
    <t xml:space="preserve">Base</t>
  </si>
  <si>
    <t xml:space="preserve">Scenario B — Hormuz closed</t>
  </si>
  <si>
    <t xml:space="preserve">2025A</t>
  </si>
  <si>
    <t xml:space="preserve">2026e</t>
  </si>
  <si>
    <t xml:space="preserve">2027e</t>
  </si>
  <si>
    <t xml:space="preserve">Realised gold price (US$/oz)</t>
  </si>
  <si>
    <t xml:space="preserve">Attributable production (Moz)</t>
  </si>
  <si>
    <t xml:space="preserve">AISC — all-in sustaining cost (US$/oz)</t>
  </si>
  <si>
    <t xml:space="preserve">AIC — all-in cost (US$/oz)</t>
  </si>
  <si>
    <t xml:space="preserve">Sustaining capex (US$m)</t>
  </si>
  <si>
    <t xml:space="preserve">Effective cash tax rate (%)</t>
  </si>
  <si>
    <t xml:space="preserve">Shareholder payout (% of FCF proxy)</t>
  </si>
  <si>
    <t xml:space="preserve">USD/ZAR (period average)</t>
  </si>
  <si>
    <t xml:space="preserve">SCENARIO RATIONALE (estimates):</t>
  </si>
  <si>
    <t xml:space="preserve">Scenario A (Hormuz open): MOU holds, Brent normalises ~US$70–80. Energy inflation fades, the Fed resumes</t>
  </si>
  <si>
    <t xml:space="preserve">   easing → lower real rates support gold's structural bull (CB buying, debasement). Safe-haven premium fades;</t>
  </si>
  <si>
    <t xml:space="preserve">   gold consolidates ~US$4,400 then firms. AISC eases toward mid-guidance as diesel falls.</t>
  </si>
  <si>
    <t xml:space="preserve">Scenario B (Hormuz closed): Brent spikes (Citi US$150 / Macquarie US$200). Stagflation + geopolitical +</t>
  </si>
  <si>
    <t xml:space="preserve">   debasement push gold to re-test/exceed its Jan-2026 record (~US$5,589). BUT energy-driven inflation keeps</t>
  </si>
  <si>
    <t xml:space="preserve">   the Fed hawkish (real-rate headwind, as in Mar-2026) → higher gold with far greater volatility. AISC rises</t>
  </si>
  <si>
    <t xml:space="preserve">   on diesel/consumables (Jefferies: +US$20–30/bbl ≈ +US$85–160/oz), partly offset by a weaker ZAR/AUD (USD-cost</t>
  </si>
  <si>
    <t xml:space="preserve">   tailwind for a US$ reporter). Base case sits between the two.</t>
  </si>
  <si>
    <t xml:space="preserve">GOLD FIELDS — SCENARIO MODEL OUTPUT  (US$m unless stated)</t>
  </si>
  <si>
    <t xml:space="preserve">Black = formula • Green = link to Assumptions. Outputs re-run when blue inputs change.</t>
  </si>
  <si>
    <t xml:space="preserve">AISC (US$/oz)</t>
  </si>
  <si>
    <t xml:space="preserve">AIC (US$/oz)</t>
  </si>
  <si>
    <t xml:space="preserve">Revenue</t>
  </si>
  <si>
    <t xml:space="preserve">less: AISC cash cost</t>
  </si>
  <si>
    <t xml:space="preserve">Group AISC margin</t>
  </si>
  <si>
    <t xml:space="preserve">add: sustaining capex</t>
  </si>
  <si>
    <t xml:space="preserve">EBITDA (e)</t>
  </si>
  <si>
    <t xml:space="preserve">EBITDA margin (%)</t>
  </si>
  <si>
    <t xml:space="preserve">All-in margin, pre-tax</t>
  </si>
  <si>
    <t xml:space="preserve">less: cash tax (e)</t>
  </si>
  <si>
    <t xml:space="preserve">Post-tax all-in FCF proxy (e)</t>
  </si>
  <si>
    <t xml:space="preserve">Implied shareholder returns (e)</t>
  </si>
  <si>
    <t xml:space="preserve">Memo: Revenue (ZAR bn)</t>
  </si>
  <si>
    <t xml:space="preserve">Memo: EBITDA (ZAR bn)</t>
  </si>
  <si>
    <t xml:space="preserve">EBITDA vs FY2025A (%)</t>
  </si>
  <si>
    <t xml:space="preserve">FCF proxy vs FY2025A (%)</t>
  </si>
  <si>
    <t xml:space="preserve">SUMMARY — EBITDA (e), US$m</t>
  </si>
  <si>
    <t xml:space="preserve">SENSITIVITY (rule of thumb, at ~2.50 Moz)</t>
  </si>
  <si>
    <t xml:space="preserve">EBITDA / FCF impact per +US$100/oz on the gold price</t>
  </si>
  <si>
    <t xml:space="preserve">US$m</t>
  </si>
  <si>
    <t xml:space="preserve">EBITDA impact per +US$100/oz on AISC</t>
  </si>
  <si>
    <t xml:space="preserve">For informational purposes only; not investment advice. (e) = analyst estimate.</t>
  </si>
  <si>
    <t xml:space="preserve">MACRO DECK — gold &amp; Brent reference (mid-June 2026)</t>
  </si>
  <si>
    <t xml:space="preserve">GOLD (US$/oz)</t>
  </si>
  <si>
    <t xml:space="preserve">2026 record high (28–29 Jan)</t>
  </si>
  <si>
    <t xml:space="preserve">~5,589 spot / 5,542 futures</t>
  </si>
  <si>
    <t xml:space="preserve">CBS / aggregators</t>
  </si>
  <si>
    <t xml:space="preserve">Pre-war retreat (early Feb)</t>
  </si>
  <si>
    <t xml:space="preserve">~4,099</t>
  </si>
  <si>
    <t xml:space="preserve">Iran strikes begin (1 Mar)</t>
  </si>
  <si>
    <t xml:space="preserve">~5,246</t>
  </si>
  <si>
    <t xml:space="preserve">Intra-year floor (Jun)</t>
  </si>
  <si>
    <t xml:space="preserve">~4,170</t>
  </si>
  <si>
    <t xml:space="preserve">J.P. Morgan, 9 Jun</t>
  </si>
  <si>
    <t xml:space="preserve">Spot today (17 Jun)</t>
  </si>
  <si>
    <t xml:space="preserve">~4,340–4,350</t>
  </si>
  <si>
    <t xml:space="preserve">Fortune / TradingEconomics</t>
  </si>
  <si>
    <t xml:space="preserve">JPMorgan 2026 avg / YE</t>
  </si>
  <si>
    <t xml:space="preserve">5,243 / 6,000</t>
  </si>
  <si>
    <t xml:space="preserve">9 Jun 2026</t>
  </si>
  <si>
    <t xml:space="preserve">BofA 12-month target</t>
  </si>
  <si>
    <t xml:space="preserve">6,000</t>
  </si>
  <si>
    <t xml:space="preserve">1 May 2026</t>
  </si>
  <si>
    <t xml:space="preserve">Goldman year-end</t>
  </si>
  <si>
    <t xml:space="preserve">5,400</t>
  </si>
  <si>
    <t xml:space="preserve">reaffirmed Apr 2026</t>
  </si>
  <si>
    <t xml:space="preserve">World Bank 2026 avg</t>
  </si>
  <si>
    <t xml:space="preserve">~4,700</t>
  </si>
  <si>
    <t xml:space="preserve">CMO Apr 2026</t>
  </si>
  <si>
    <t xml:space="preserve">BRENT (US$/bbl)</t>
  </si>
  <si>
    <t xml:space="preserve">Pre-war</t>
  </si>
  <si>
    <t xml:space="preserve">~73</t>
  </si>
  <si>
    <t xml:space="preserve">Intraday peak (30 Apr)</t>
  </si>
  <si>
    <t xml:space="preserve">126 (thin) / 114 close</t>
  </si>
  <si>
    <t xml:space="preserve">CNN / CNBC</t>
  </si>
  <si>
    <t xml:space="preserve">Today (17 Jun)</t>
  </si>
  <si>
    <t xml:space="preserve">~79–82</t>
  </si>
  <si>
    <t xml:space="preserve">Citi — extended closure</t>
  </si>
  <si>
    <t xml:space="preserve">~150 (avg ~130 Q2–Q3)</t>
  </si>
  <si>
    <t xml:space="preserve">26 Apr 2026</t>
  </si>
  <si>
    <t xml:space="preserve">Macquarie — war persists</t>
  </si>
  <si>
    <t xml:space="preserve">up to 200</t>
  </si>
  <si>
    <t xml:space="preserve">27 Mar 2026</t>
  </si>
  <si>
    <t xml:space="preserve">BlackRock (Fink)</t>
  </si>
  <si>
    <t xml:space="preserve">~150 even w/ ceasefire</t>
  </si>
  <si>
    <t xml:space="preserve">25 Mar 2026</t>
  </si>
  <si>
    <t xml:space="preserve">World Bank upside</t>
  </si>
  <si>
    <t xml:space="preserve">95–115 (2026)</t>
  </si>
  <si>
    <t xml:space="preserve">EIA 2026 / 2027 avg</t>
  </si>
  <si>
    <t xml:space="preserve">95 / 79</t>
  </si>
  <si>
    <t xml:space="preserve">STEO 9 Jun 2026</t>
  </si>
  <si>
    <t xml:space="preserve">Strait of Hormuz (17 Jun 2026): effectively closed to open commercial traffic; US–Iran MOU announced 14 Jun, signing set 19 Jun (Geneva).</t>
  </si>
  <si>
    <t xml:space="preserve">Tolling dispute live: US says toll-free &amp; permanent; IRGC-linked Fars says toll-free 60 days only. Ceasefire repeatedly violated during the war.</t>
  </si>
  <si>
    <t xml:space="preserve">GOLD FIELDS — FY2025 REPORTED ACTUALS (US$m unless stated)</t>
  </si>
  <si>
    <t xml:space="preserve">Source: Gold Fields FY2025 reviewed results, SEC Form 6-K, 19–20 Feb 2026.</t>
  </si>
  <si>
    <t xml:space="preserve">Metric</t>
  </si>
  <si>
    <t xml:space="preserve">FY2025</t>
  </si>
  <si>
    <t xml:space="preserve">FY2024</t>
  </si>
  <si>
    <t xml:space="preserve">% change</t>
  </si>
  <si>
    <t xml:space="preserve">Average realised gold price (US$/oz)</t>
  </si>
  <si>
    <t xml:space="preserve">Adjusted EBITDA</t>
  </si>
  <si>
    <t xml:space="preserve">Attributable profit</t>
  </si>
  <si>
    <t xml:space="preserve">Headline earnings</t>
  </si>
  <si>
    <t xml:space="preserve">HEPS (US cents)</t>
  </si>
  <si>
    <t xml:space="preserve">Normalised profit</t>
  </si>
  <si>
    <t xml:space="preserve">Capital expenditure</t>
  </si>
  <si>
    <t xml:space="preserve">Net debt (incl. leases)</t>
  </si>
  <si>
    <t xml:space="preserve">Net debt / adj. EBITDA (x)</t>
  </si>
  <si>
    <t xml:space="preserve">Total ordinary dividend (ZAR/share)</t>
  </si>
  <si>
    <t xml:space="preserve">FY2024 ordinary dividend shown as indicative R11.00 (prior-year base). FY2025 also paid a ~R4.50 special dividend; total shareholder distributions ~US$1.7bn (54% of adjusted FCF).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</si>
</sst>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"/>
    <numFmt numFmtId="167" formatCode="#,##0;\(#,##0\);\-"/>
    <numFmt numFmtId="168" formatCode="0.0%"/>
    <numFmt numFmtId="169" formatCode="#,##0.0;\(#,##0.0\);\-"/>
    <numFmt numFmtId="170" formatCode="0.00\x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rgb="FFFFF2CC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E7E6E6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Gold Fields EBITDA (e)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Model'!B30</c:f>
              <c:strCache>
                <c:ptCount val="1"/>
                <c:pt idx="0">
                  <c:v>2026e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Model'!$A$31:$A$33</c:f>
              <c:strCache>
                <c:ptCount val="3"/>
                <c:pt idx="0">
                  <c:v>Scenario A — Hormuz open</c:v>
                </c:pt>
                <c:pt idx="1">
                  <c:v>Base</c:v>
                </c:pt>
                <c:pt idx="2">
                  <c:v>Scenario B — Hormuz closed</c:v>
                </c:pt>
              </c:strCache>
            </c:strRef>
          </c:cat>
          <c:val>
            <c:numRef>
              <c:f>'Scenario Model'!$B$31:$B$33</c:f>
              <c:numCache>
                <c:formatCode>#,##0;\(#,##0\);\-</c:formatCode>
                <c:ptCount val="3"/>
                <c:pt idx="0">
                  <c:v>7725</c:v>
                </c:pt>
                <c:pt idx="1">
                  <c:v>7850</c:v>
                </c:pt>
                <c:pt idx="2">
                  <c:v>8572</c:v>
                </c:pt>
              </c:numCache>
            </c:numRef>
          </c:val>
        </c:ser>
        <c:ser>
          <c:idx val="1"/>
          <c:order val="1"/>
          <c:tx>
            <c:strRef>
              <c:f>'Scenario Model'!C30</c:f>
              <c:strCache>
                <c:ptCount val="1"/>
                <c:pt idx="0">
                  <c:v>2027e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Model'!$A$31:$A$33</c:f>
              <c:strCache>
                <c:ptCount val="3"/>
                <c:pt idx="0">
                  <c:v>Scenario A — Hormuz open</c:v>
                </c:pt>
                <c:pt idx="1">
                  <c:v>Base</c:v>
                </c:pt>
                <c:pt idx="2">
                  <c:v>Scenario B — Hormuz closed</c:v>
                </c:pt>
              </c:strCache>
            </c:strRef>
          </c:cat>
          <c:val>
            <c:numRef>
              <c:f>'Scenario Model'!$C$31:$C$33</c:f>
              <c:numCache>
                <c:formatCode>#,##0;\(#,##0\);\-</c:formatCode>
                <c:ptCount val="3"/>
                <c:pt idx="0">
                  <c:v>8695</c:v>
                </c:pt>
                <c:pt idx="1">
                  <c:v>9205</c:v>
                </c:pt>
                <c:pt idx="2">
                  <c:v>9772</c:v>
                </c:pt>
              </c:numCache>
            </c:numRef>
          </c:val>
        </c:ser>
        <c:gapWidth val="150"/>
        <c:overlap val="0"/>
        <c:axId val="34949459"/>
        <c:axId val="78477808"/>
      </c:barChart>
      <c:catAx>
        <c:axId val="34949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477808"/>
        <c:crosses val="autoZero"/>
        <c:auto val="1"/>
        <c:lblAlgn val="ctr"/>
        <c:lblOffset val="100"/>
        <c:noMultiLvlLbl val="0"/>
      </c:catAx>
      <c:valAx>
        <c:axId val="78477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494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28</xdr:row>
      <xdr:rowOff>0</xdr:rowOff>
    </xdr:from>
    <xdr:to>
      <xdr:col>11</xdr:col>
      <xdr:colOff>181800</xdr:colOff>
      <xdr:row>42</xdr:row>
      <xdr:rowOff>32400</xdr:rowOff>
    </xdr:to>
    <xdr:graphicFrame>
      <xdr:nvGraphicFramePr>
        <xdr:cNvPr id="1" name="Chart 1"/>
        <xdr:cNvGraphicFramePr/>
      </xdr:nvGraphicFramePr>
      <xdr:xfrm>
        <a:off x="5356800" y="53485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B8" s="5" t="s">
        <v>5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B9" s="5" t="s">
        <v>6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B10" s="5" t="s">
        <v>7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B11" s="5" t="s">
        <v>8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B12" s="5" t="s">
        <v>9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B13" s="5" t="s">
        <v>10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B15" s="5" t="s">
        <v>11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5" t="s">
        <v>12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B17" s="5" t="s">
        <v>13</v>
      </c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B18" s="5" t="s">
        <v>14</v>
      </c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B19" s="5" t="s">
        <v>15</v>
      </c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B20" s="5" t="s">
        <v>16</v>
      </c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B21" s="5" t="s">
        <v>17</v>
      </c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B22" s="5" t="s">
        <v>18</v>
      </c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B23" s="5" t="s">
        <v>19</v>
      </c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B24" s="5" t="s">
        <v>20</v>
      </c>
      <c r="C24" s="5"/>
      <c r="D24" s="5"/>
      <c r="E24" s="5"/>
      <c r="F24" s="5"/>
      <c r="G24" s="5"/>
      <c r="H24" s="5"/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6" t="s">
        <v>22</v>
      </c>
      <c r="C27" s="6"/>
      <c r="D27" s="6"/>
      <c r="E27" s="5" t="s">
        <v>23</v>
      </c>
      <c r="F27" s="5"/>
      <c r="G27" s="5"/>
      <c r="H27" s="5"/>
    </row>
    <row r="28" customFormat="false" ht="15" hidden="false" customHeight="false" outlineLevel="0" collapsed="false">
      <c r="B28" s="6" t="s">
        <v>24</v>
      </c>
      <c r="C28" s="6"/>
      <c r="D28" s="6"/>
      <c r="E28" s="5" t="s">
        <v>25</v>
      </c>
      <c r="F28" s="5"/>
      <c r="G28" s="5"/>
      <c r="H28" s="5"/>
    </row>
    <row r="29" customFormat="false" ht="15" hidden="false" customHeight="false" outlineLevel="0" collapsed="false">
      <c r="B29" s="6" t="s">
        <v>26</v>
      </c>
      <c r="C29" s="6"/>
      <c r="D29" s="6"/>
      <c r="E29" s="5" t="s">
        <v>27</v>
      </c>
      <c r="F29" s="5"/>
      <c r="G29" s="5"/>
      <c r="H29" s="5"/>
    </row>
    <row r="30" customFormat="false" ht="15" hidden="false" customHeight="false" outlineLevel="0" collapsed="false">
      <c r="B30" s="6" t="s">
        <v>28</v>
      </c>
      <c r="C30" s="6"/>
      <c r="D30" s="6"/>
      <c r="E30" s="5" t="s">
        <v>29</v>
      </c>
      <c r="F30" s="5"/>
      <c r="G30" s="5"/>
      <c r="H30" s="5"/>
    </row>
    <row r="31" customFormat="false" ht="15" hidden="false" customHeight="false" outlineLevel="0" collapsed="false">
      <c r="B31" s="6" t="s">
        <v>30</v>
      </c>
      <c r="C31" s="6"/>
      <c r="D31" s="6"/>
      <c r="E31" s="5" t="s">
        <v>31</v>
      </c>
      <c r="F31" s="5"/>
      <c r="G31" s="5"/>
      <c r="H31" s="5"/>
    </row>
    <row r="32" customFormat="false" ht="15" hidden="false" customHeight="false" outlineLevel="0" collapsed="false">
      <c r="B32" s="6" t="s">
        <v>32</v>
      </c>
      <c r="C32" s="6"/>
      <c r="D32" s="6"/>
      <c r="E32" s="5" t="s">
        <v>33</v>
      </c>
      <c r="F32" s="5"/>
      <c r="G32" s="5"/>
      <c r="H32" s="5"/>
    </row>
    <row r="33" customFormat="false" ht="15" hidden="false" customHeight="false" outlineLevel="0" collapsed="false">
      <c r="B33" s="6" t="s">
        <v>34</v>
      </c>
      <c r="C33" s="6"/>
      <c r="D33" s="6"/>
      <c r="E33" s="5" t="s">
        <v>35</v>
      </c>
      <c r="F33" s="5"/>
      <c r="G33" s="5"/>
      <c r="H33" s="5"/>
    </row>
    <row r="35" customFormat="false" ht="15" hidden="false" customHeight="false" outlineLevel="0" collapsed="false">
      <c r="B35" s="7" t="s">
        <v>36</v>
      </c>
      <c r="C35" s="7"/>
      <c r="D35" s="7"/>
      <c r="E35" s="7"/>
      <c r="F35" s="7"/>
      <c r="G35" s="7"/>
      <c r="H35" s="7"/>
    </row>
  </sheetData>
  <mergeCells count="33"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7:D27"/>
    <mergeCell ref="E27:H27"/>
    <mergeCell ref="B28:D28"/>
    <mergeCell ref="E28:H28"/>
    <mergeCell ref="B29:D29"/>
    <mergeCell ref="E29:H29"/>
    <mergeCell ref="B30:D30"/>
    <mergeCell ref="E30:H30"/>
    <mergeCell ref="B31:D31"/>
    <mergeCell ref="E31:H31"/>
    <mergeCell ref="B32:D32"/>
    <mergeCell ref="E32:H32"/>
    <mergeCell ref="B33:D33"/>
    <mergeCell ref="E33:H33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9" min="6" style="0" width="8"/>
  </cols>
  <sheetData>
    <row r="1" customFormat="false" ht="16.15" hidden="false" customHeight="false" outlineLevel="0" collapsed="false">
      <c r="A1" s="8" t="s">
        <v>37</v>
      </c>
    </row>
    <row r="2" customFormat="false" ht="15" hidden="false" customHeight="false" outlineLevel="0" collapsed="false">
      <c r="A2" s="9" t="s">
        <v>38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1" t="s">
        <v>44</v>
      </c>
      <c r="G4" s="11" t="s">
        <v>45</v>
      </c>
      <c r="H4" s="11" t="s">
        <v>46</v>
      </c>
      <c r="I4" s="11" t="s">
        <v>47</v>
      </c>
    </row>
    <row r="5" customFormat="false" ht="18" hidden="false" customHeight="true" outlineLevel="0" collapsed="false">
      <c r="A5" s="12" t="s">
        <v>48</v>
      </c>
      <c r="B5" s="12"/>
      <c r="C5" s="12"/>
      <c r="D5" s="12"/>
      <c r="E5" s="12"/>
      <c r="F5" s="12"/>
      <c r="G5" s="12"/>
      <c r="H5" s="12"/>
      <c r="I5" s="12"/>
    </row>
    <row r="6" customFormat="false" ht="33.75" hidden="false" customHeight="true" outlineLevel="0" collapsed="false">
      <c r="A6" s="13" t="s">
        <v>49</v>
      </c>
      <c r="B6" s="14" t="s">
        <v>50</v>
      </c>
      <c r="C6" s="15" t="s">
        <v>51</v>
      </c>
      <c r="D6" s="14" t="s">
        <v>52</v>
      </c>
      <c r="E6" s="16" t="s">
        <v>53</v>
      </c>
      <c r="F6" s="17"/>
      <c r="G6" s="17"/>
      <c r="H6" s="17"/>
      <c r="I6" s="17"/>
    </row>
    <row r="7" customFormat="false" ht="33.75" hidden="false" customHeight="true" outlineLevel="0" collapsed="false">
      <c r="A7" s="13" t="s">
        <v>54</v>
      </c>
      <c r="B7" s="14" t="s">
        <v>55</v>
      </c>
      <c r="C7" s="15" t="s">
        <v>56</v>
      </c>
      <c r="D7" s="14" t="s">
        <v>57</v>
      </c>
      <c r="E7" s="16" t="s">
        <v>58</v>
      </c>
      <c r="F7" s="17"/>
      <c r="G7" s="17"/>
      <c r="H7" s="17"/>
      <c r="I7" s="17"/>
    </row>
    <row r="8" customFormat="false" ht="33.75" hidden="false" customHeight="true" outlineLevel="0" collapsed="false">
      <c r="A8" s="13" t="s">
        <v>59</v>
      </c>
      <c r="B8" s="14" t="s">
        <v>60</v>
      </c>
      <c r="C8" s="15" t="s">
        <v>61</v>
      </c>
      <c r="D8" s="14" t="s">
        <v>62</v>
      </c>
      <c r="E8" s="16" t="s">
        <v>63</v>
      </c>
      <c r="F8" s="17"/>
      <c r="G8" s="17"/>
      <c r="H8" s="17"/>
      <c r="I8" s="17"/>
    </row>
    <row r="9" customFormat="false" ht="18" hidden="false" customHeight="true" outlineLevel="0" collapsed="false">
      <c r="A9" s="12" t="s">
        <v>64</v>
      </c>
      <c r="B9" s="12"/>
      <c r="C9" s="12"/>
      <c r="D9" s="12"/>
      <c r="E9" s="12"/>
      <c r="F9" s="12"/>
      <c r="G9" s="12"/>
      <c r="H9" s="12"/>
      <c r="I9" s="12"/>
    </row>
    <row r="10" customFormat="false" ht="33.75" hidden="false" customHeight="true" outlineLevel="0" collapsed="false">
      <c r="A10" s="13" t="s">
        <v>65</v>
      </c>
      <c r="B10" s="14" t="s">
        <v>66</v>
      </c>
      <c r="C10" s="15" t="s">
        <v>67</v>
      </c>
      <c r="D10" s="14" t="s">
        <v>68</v>
      </c>
      <c r="E10" s="18" t="s">
        <v>69</v>
      </c>
      <c r="F10" s="17"/>
      <c r="G10" s="17"/>
      <c r="H10" s="17"/>
      <c r="I10" s="17"/>
    </row>
    <row r="11" customFormat="false" ht="33.75" hidden="false" customHeight="true" outlineLevel="0" collapsed="false">
      <c r="A11" s="13" t="s">
        <v>70</v>
      </c>
      <c r="B11" s="14" t="s">
        <v>71</v>
      </c>
      <c r="C11" s="15" t="s">
        <v>72</v>
      </c>
      <c r="D11" s="14" t="s">
        <v>73</v>
      </c>
      <c r="E11" s="16" t="s">
        <v>74</v>
      </c>
      <c r="F11" s="17"/>
      <c r="G11" s="17"/>
      <c r="H11" s="17"/>
      <c r="I11" s="17"/>
    </row>
    <row r="12" customFormat="false" ht="33.75" hidden="false" customHeight="true" outlineLevel="0" collapsed="false">
      <c r="A12" s="13" t="s">
        <v>75</v>
      </c>
      <c r="B12" s="14" t="s">
        <v>76</v>
      </c>
      <c r="C12" s="15" t="s">
        <v>77</v>
      </c>
      <c r="D12" s="14" t="s">
        <v>78</v>
      </c>
      <c r="E12" s="16" t="s">
        <v>79</v>
      </c>
      <c r="F12" s="17"/>
      <c r="G12" s="17"/>
      <c r="H12" s="17"/>
      <c r="I12" s="17"/>
    </row>
    <row r="13" customFormat="false" ht="18" hidden="false" customHeight="true" outlineLevel="0" collapsed="false">
      <c r="A13" s="12" t="s">
        <v>80</v>
      </c>
      <c r="B13" s="12"/>
      <c r="C13" s="12"/>
      <c r="D13" s="12"/>
      <c r="E13" s="12"/>
      <c r="F13" s="12"/>
      <c r="G13" s="12"/>
      <c r="H13" s="12"/>
      <c r="I13" s="12"/>
    </row>
    <row r="14" customFormat="false" ht="33.75" hidden="false" customHeight="true" outlineLevel="0" collapsed="false">
      <c r="A14" s="13" t="s">
        <v>81</v>
      </c>
      <c r="B14" s="14" t="s">
        <v>82</v>
      </c>
      <c r="C14" s="15" t="s">
        <v>83</v>
      </c>
      <c r="D14" s="14" t="s">
        <v>84</v>
      </c>
      <c r="E14" s="19" t="s">
        <v>85</v>
      </c>
      <c r="F14" s="17"/>
      <c r="G14" s="17"/>
      <c r="H14" s="17"/>
      <c r="I14" s="17"/>
    </row>
    <row r="15" customFormat="false" ht="33.75" hidden="false" customHeight="true" outlineLevel="0" collapsed="false">
      <c r="A15" s="13" t="s">
        <v>86</v>
      </c>
      <c r="B15" s="14" t="s">
        <v>87</v>
      </c>
      <c r="C15" s="15" t="s">
        <v>88</v>
      </c>
      <c r="D15" s="14" t="s">
        <v>89</v>
      </c>
      <c r="E15" s="19" t="s">
        <v>90</v>
      </c>
      <c r="F15" s="17"/>
      <c r="G15" s="17"/>
      <c r="H15" s="17"/>
      <c r="I15" s="17"/>
    </row>
    <row r="16" customFormat="false" ht="18" hidden="false" customHeight="true" outlineLevel="0" collapsed="false">
      <c r="A16" s="12" t="s">
        <v>91</v>
      </c>
      <c r="B16" s="12"/>
      <c r="C16" s="12"/>
      <c r="D16" s="12"/>
      <c r="E16" s="12"/>
      <c r="F16" s="12"/>
      <c r="G16" s="12"/>
      <c r="H16" s="12"/>
      <c r="I16" s="12"/>
    </row>
    <row r="17" customFormat="false" ht="33.75" hidden="false" customHeight="true" outlineLevel="0" collapsed="false">
      <c r="A17" s="13" t="s">
        <v>92</v>
      </c>
      <c r="B17" s="14" t="s">
        <v>93</v>
      </c>
      <c r="C17" s="15" t="s">
        <v>94</v>
      </c>
      <c r="D17" s="14" t="s">
        <v>95</v>
      </c>
      <c r="E17" s="18" t="s">
        <v>96</v>
      </c>
      <c r="F17" s="17"/>
      <c r="G17" s="17"/>
      <c r="H17" s="17"/>
      <c r="I17" s="17"/>
    </row>
    <row r="18" customFormat="false" ht="33.75" hidden="false" customHeight="true" outlineLevel="0" collapsed="false">
      <c r="A18" s="13" t="s">
        <v>97</v>
      </c>
      <c r="B18" s="14" t="s">
        <v>98</v>
      </c>
      <c r="C18" s="15" t="s">
        <v>78</v>
      </c>
      <c r="D18" s="14" t="s">
        <v>99</v>
      </c>
      <c r="E18" s="18" t="s">
        <v>100</v>
      </c>
      <c r="F18" s="17"/>
      <c r="G18" s="17"/>
      <c r="H18" s="17"/>
      <c r="I18" s="17"/>
    </row>
    <row r="20" customFormat="false" ht="15" hidden="false" customHeight="false" outlineLevel="0" collapsed="false">
      <c r="A20" s="20" t="s">
        <v>101</v>
      </c>
      <c r="B20" s="21" t="s">
        <v>102</v>
      </c>
      <c r="C20" s="22" t="s">
        <v>103</v>
      </c>
      <c r="D20" s="23" t="s">
        <v>104</v>
      </c>
      <c r="E20" s="24" t="s">
        <v>105</v>
      </c>
    </row>
    <row r="22" customFormat="false" ht="15" hidden="false" customHeight="false" outlineLevel="0" collapsed="false">
      <c r="A22" s="7" t="s">
        <v>106</v>
      </c>
      <c r="B22" s="7"/>
      <c r="C22" s="7"/>
      <c r="D22" s="7"/>
      <c r="E22" s="7"/>
      <c r="F22" s="7"/>
      <c r="G22" s="7"/>
      <c r="H22" s="7"/>
      <c r="I22" s="7"/>
    </row>
  </sheetData>
  <mergeCells count="6">
    <mergeCell ref="A2:I2"/>
    <mergeCell ref="A5:I5"/>
    <mergeCell ref="A9:I9"/>
    <mergeCell ref="A13:I13"/>
    <mergeCell ref="A16:I16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</cols>
  <sheetData>
    <row r="1" customFormat="false" ht="16.15" hidden="false" customHeight="false" outlineLevel="0" collapsed="false">
      <c r="A1" s="8" t="s">
        <v>107</v>
      </c>
    </row>
    <row r="2" customFormat="false" ht="15" hidden="false" customHeight="false" outlineLevel="0" collapsed="false">
      <c r="A2" s="25" t="s">
        <v>108</v>
      </c>
    </row>
    <row r="3" customFormat="false" ht="15" hidden="false" customHeight="false" outlineLevel="0" collapsed="false">
      <c r="B3" s="26" t="s">
        <v>41</v>
      </c>
      <c r="C3" s="27" t="s">
        <v>109</v>
      </c>
      <c r="D3" s="27"/>
      <c r="E3" s="27" t="s">
        <v>110</v>
      </c>
      <c r="F3" s="27"/>
      <c r="G3" s="27" t="s">
        <v>111</v>
      </c>
      <c r="H3" s="27"/>
    </row>
    <row r="4" customFormat="false" ht="15" hidden="false" customHeight="false" outlineLevel="0" collapsed="false">
      <c r="B4" s="28" t="s">
        <v>112</v>
      </c>
      <c r="C4" s="28" t="s">
        <v>113</v>
      </c>
      <c r="D4" s="28" t="s">
        <v>114</v>
      </c>
      <c r="E4" s="28" t="s">
        <v>113</v>
      </c>
      <c r="F4" s="28" t="s">
        <v>114</v>
      </c>
      <c r="G4" s="28" t="s">
        <v>113</v>
      </c>
      <c r="H4" s="28" t="s">
        <v>114</v>
      </c>
    </row>
    <row r="5" customFormat="false" ht="15" hidden="false" customHeight="false" outlineLevel="0" collapsed="false">
      <c r="A5" s="29" t="s">
        <v>115</v>
      </c>
      <c r="B5" s="30" t="n">
        <v>3496</v>
      </c>
      <c r="C5" s="30" t="n">
        <v>4400</v>
      </c>
      <c r="D5" s="30" t="n">
        <v>4700</v>
      </c>
      <c r="E5" s="30" t="n">
        <v>4500</v>
      </c>
      <c r="F5" s="30" t="n">
        <v>5000</v>
      </c>
      <c r="G5" s="30" t="n">
        <v>4900</v>
      </c>
      <c r="H5" s="30" t="n">
        <v>5400</v>
      </c>
    </row>
    <row r="6" customFormat="false" ht="15" hidden="false" customHeight="false" outlineLevel="0" collapsed="false">
      <c r="A6" s="29" t="s">
        <v>116</v>
      </c>
      <c r="B6" s="31" t="n">
        <v>2.438</v>
      </c>
      <c r="C6" s="31" t="n">
        <v>2.5</v>
      </c>
      <c r="D6" s="31" t="n">
        <v>2.55</v>
      </c>
      <c r="E6" s="31" t="n">
        <v>2.5</v>
      </c>
      <c r="F6" s="31" t="n">
        <v>2.55</v>
      </c>
      <c r="G6" s="31" t="n">
        <v>2.48</v>
      </c>
      <c r="H6" s="31" t="n">
        <v>2.52</v>
      </c>
    </row>
    <row r="7" customFormat="false" ht="15" hidden="false" customHeight="false" outlineLevel="0" collapsed="false">
      <c r="A7" s="29" t="s">
        <v>117</v>
      </c>
      <c r="B7" s="30" t="n">
        <v>1645</v>
      </c>
      <c r="C7" s="30" t="n">
        <v>1850</v>
      </c>
      <c r="D7" s="30" t="n">
        <v>1800</v>
      </c>
      <c r="E7" s="30" t="n">
        <v>1900</v>
      </c>
      <c r="F7" s="30" t="n">
        <v>1900</v>
      </c>
      <c r="G7" s="30" t="n">
        <v>2000</v>
      </c>
      <c r="H7" s="30" t="n">
        <v>2050</v>
      </c>
    </row>
    <row r="8" customFormat="false" ht="15" hidden="false" customHeight="false" outlineLevel="0" collapsed="false">
      <c r="A8" s="29" t="s">
        <v>118</v>
      </c>
      <c r="B8" s="32" t="n">
        <v>1927</v>
      </c>
      <c r="C8" s="32" t="n">
        <v>2150</v>
      </c>
      <c r="D8" s="32" t="n">
        <v>2050</v>
      </c>
      <c r="E8" s="32" t="n">
        <v>2200</v>
      </c>
      <c r="F8" s="32" t="n">
        <v>2150</v>
      </c>
      <c r="G8" s="32" t="n">
        <v>2300</v>
      </c>
      <c r="H8" s="32" t="n">
        <v>2350</v>
      </c>
    </row>
    <row r="9" customFormat="false" ht="15" hidden="false" customHeight="false" outlineLevel="0" collapsed="false">
      <c r="A9" s="29" t="s">
        <v>119</v>
      </c>
      <c r="B9" s="33" t="n">
        <v>1029</v>
      </c>
      <c r="C9" s="33" t="n">
        <v>1350</v>
      </c>
      <c r="D9" s="33" t="n">
        <v>1300</v>
      </c>
      <c r="E9" s="33" t="n">
        <v>1350</v>
      </c>
      <c r="F9" s="33" t="n">
        <v>1300</v>
      </c>
      <c r="G9" s="33" t="n">
        <v>1380</v>
      </c>
      <c r="H9" s="33" t="n">
        <v>1330</v>
      </c>
    </row>
    <row r="10" customFormat="false" ht="15" hidden="false" customHeight="false" outlineLevel="0" collapsed="false">
      <c r="A10" s="29" t="s">
        <v>120</v>
      </c>
      <c r="B10" s="34" t="n">
        <v>0.31</v>
      </c>
      <c r="C10" s="34" t="n">
        <v>0.3</v>
      </c>
      <c r="D10" s="34" t="n">
        <v>0.3</v>
      </c>
      <c r="E10" s="34" t="n">
        <v>0.3</v>
      </c>
      <c r="F10" s="34" t="n">
        <v>0.3</v>
      </c>
      <c r="G10" s="34" t="n">
        <v>0.3</v>
      </c>
      <c r="H10" s="34" t="n">
        <v>0.3</v>
      </c>
    </row>
    <row r="11" customFormat="false" ht="15" hidden="false" customHeight="false" outlineLevel="0" collapsed="false">
      <c r="A11" s="29" t="s">
        <v>121</v>
      </c>
      <c r="B11" s="34" t="n">
        <v>0.54</v>
      </c>
      <c r="C11" s="34" t="n">
        <v>0.45</v>
      </c>
      <c r="D11" s="34" t="n">
        <v>0.45</v>
      </c>
      <c r="E11" s="34" t="n">
        <v>0.45</v>
      </c>
      <c r="F11" s="34" t="n">
        <v>0.45</v>
      </c>
      <c r="G11" s="34" t="n">
        <v>0.4</v>
      </c>
      <c r="H11" s="34" t="n">
        <v>0.4</v>
      </c>
    </row>
    <row r="12" customFormat="false" ht="15" hidden="false" customHeight="false" outlineLevel="0" collapsed="false">
      <c r="A12" s="29" t="s">
        <v>122</v>
      </c>
      <c r="B12" s="35" t="n">
        <v>18.3</v>
      </c>
      <c r="C12" s="35" t="n">
        <v>18</v>
      </c>
      <c r="D12" s="35" t="n">
        <v>17.8</v>
      </c>
      <c r="E12" s="35" t="n">
        <v>18.5</v>
      </c>
      <c r="F12" s="35" t="n">
        <v>18.5</v>
      </c>
      <c r="G12" s="35" t="n">
        <v>19.5</v>
      </c>
      <c r="H12" s="35" t="n">
        <v>19.8</v>
      </c>
    </row>
    <row r="14" customFormat="false" ht="15" hidden="false" customHeight="false" outlineLevel="0" collapsed="false">
      <c r="A14" s="36" t="s">
        <v>123</v>
      </c>
    </row>
    <row r="15" customFormat="false" ht="15" hidden="false" customHeight="false" outlineLevel="0" collapsed="false">
      <c r="A15" s="37" t="s">
        <v>124</v>
      </c>
      <c r="B15" s="37"/>
      <c r="C15" s="37"/>
      <c r="D15" s="37"/>
      <c r="E15" s="37"/>
      <c r="F15" s="37"/>
      <c r="G15" s="37"/>
      <c r="H15" s="37"/>
    </row>
    <row r="16" customFormat="false" ht="15" hidden="false" customHeight="false" outlineLevel="0" collapsed="false">
      <c r="A16" s="37" t="s">
        <v>125</v>
      </c>
      <c r="B16" s="37"/>
      <c r="C16" s="37"/>
      <c r="D16" s="37"/>
      <c r="E16" s="37"/>
      <c r="F16" s="37"/>
      <c r="G16" s="37"/>
      <c r="H16" s="37"/>
    </row>
    <row r="17" customFormat="false" ht="15" hidden="false" customHeight="false" outlineLevel="0" collapsed="false">
      <c r="A17" s="37" t="s">
        <v>126</v>
      </c>
      <c r="B17" s="37"/>
      <c r="C17" s="37"/>
      <c r="D17" s="37"/>
      <c r="E17" s="37"/>
      <c r="F17" s="37"/>
      <c r="G17" s="37"/>
      <c r="H17" s="37"/>
    </row>
    <row r="18" customFormat="false" ht="15" hidden="false" customHeight="false" outlineLevel="0" collapsed="false">
      <c r="A18" s="37" t="s">
        <v>127</v>
      </c>
      <c r="B18" s="37"/>
      <c r="C18" s="37"/>
      <c r="D18" s="37"/>
      <c r="E18" s="37"/>
      <c r="F18" s="37"/>
      <c r="G18" s="37"/>
      <c r="H18" s="37"/>
    </row>
    <row r="19" customFormat="false" ht="15" hidden="false" customHeight="false" outlineLevel="0" collapsed="false">
      <c r="A19" s="37" t="s">
        <v>128</v>
      </c>
      <c r="B19" s="37"/>
      <c r="C19" s="37"/>
      <c r="D19" s="37"/>
      <c r="E19" s="37"/>
      <c r="F19" s="37"/>
      <c r="G19" s="37"/>
      <c r="H19" s="37"/>
    </row>
    <row r="20" customFormat="false" ht="15" hidden="false" customHeight="false" outlineLevel="0" collapsed="false">
      <c r="A20" s="37" t="s">
        <v>129</v>
      </c>
      <c r="B20" s="37"/>
      <c r="C20" s="37"/>
      <c r="D20" s="37"/>
      <c r="E20" s="37"/>
      <c r="F20" s="37"/>
      <c r="G20" s="37"/>
      <c r="H20" s="37"/>
    </row>
    <row r="21" customFormat="false" ht="15" hidden="false" customHeight="false" outlineLevel="0" collapsed="false">
      <c r="A21" s="37" t="s">
        <v>130</v>
      </c>
      <c r="B21" s="37"/>
      <c r="C21" s="37"/>
      <c r="D21" s="37"/>
      <c r="E21" s="37"/>
      <c r="F21" s="37"/>
      <c r="G21" s="37"/>
      <c r="H21" s="37"/>
    </row>
    <row r="22" customFormat="false" ht="15" hidden="false" customHeight="false" outlineLevel="0" collapsed="false">
      <c r="A22" s="37" t="s">
        <v>131</v>
      </c>
      <c r="B22" s="37"/>
      <c r="C22" s="37"/>
      <c r="D22" s="37"/>
      <c r="E22" s="37"/>
      <c r="F22" s="37"/>
      <c r="G22" s="37"/>
      <c r="H22" s="37"/>
    </row>
  </sheetData>
  <mergeCells count="11">
    <mergeCell ref="C3:D3"/>
    <mergeCell ref="E3:F3"/>
    <mergeCell ref="G3:H3"/>
    <mergeCell ref="A15:H15"/>
    <mergeCell ref="A16:H16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</cols>
  <sheetData>
    <row r="1" customFormat="false" ht="16.15" hidden="false" customHeight="false" outlineLevel="0" collapsed="false">
      <c r="A1" s="8" t="s">
        <v>132</v>
      </c>
    </row>
    <row r="2" customFormat="false" ht="15" hidden="false" customHeight="false" outlineLevel="0" collapsed="false">
      <c r="A2" s="25" t="s">
        <v>133</v>
      </c>
    </row>
    <row r="3" customFormat="false" ht="15" hidden="false" customHeight="false" outlineLevel="0" collapsed="false">
      <c r="B3" s="26" t="s">
        <v>41</v>
      </c>
      <c r="C3" s="27" t="s">
        <v>109</v>
      </c>
      <c r="D3" s="27"/>
      <c r="E3" s="27" t="s">
        <v>110</v>
      </c>
      <c r="F3" s="27"/>
      <c r="G3" s="27" t="s">
        <v>111</v>
      </c>
      <c r="H3" s="27"/>
    </row>
    <row r="4" customFormat="false" ht="15" hidden="false" customHeight="false" outlineLevel="0" collapsed="false">
      <c r="B4" s="28" t="s">
        <v>112</v>
      </c>
      <c r="C4" s="28" t="s">
        <v>113</v>
      </c>
      <c r="D4" s="28" t="s">
        <v>114</v>
      </c>
      <c r="E4" s="28" t="s">
        <v>113</v>
      </c>
      <c r="F4" s="28" t="s">
        <v>114</v>
      </c>
      <c r="G4" s="28" t="s">
        <v>113</v>
      </c>
      <c r="H4" s="28" t="s">
        <v>114</v>
      </c>
    </row>
    <row r="5" customFormat="false" ht="15" hidden="false" customHeight="false" outlineLevel="0" collapsed="false">
      <c r="A5" s="38" t="s">
        <v>115</v>
      </c>
      <c r="B5" s="39" t="n">
        <f aca="false">Assumptions!B5</f>
        <v>3496</v>
      </c>
      <c r="C5" s="39" t="n">
        <f aca="false">Assumptions!C5</f>
        <v>4400</v>
      </c>
      <c r="D5" s="39" t="n">
        <f aca="false">Assumptions!D5</f>
        <v>4700</v>
      </c>
      <c r="E5" s="39" t="n">
        <f aca="false">Assumptions!E5</f>
        <v>4500</v>
      </c>
      <c r="F5" s="39" t="n">
        <f aca="false">Assumptions!F5</f>
        <v>5000</v>
      </c>
      <c r="G5" s="39" t="n">
        <f aca="false">Assumptions!G5</f>
        <v>4900</v>
      </c>
      <c r="H5" s="39" t="n">
        <f aca="false">Assumptions!H5</f>
        <v>5400</v>
      </c>
    </row>
    <row r="6" customFormat="false" ht="15" hidden="false" customHeight="false" outlineLevel="0" collapsed="false">
      <c r="A6" s="38" t="s">
        <v>116</v>
      </c>
      <c r="B6" s="40" t="n">
        <f aca="false">Assumptions!B6</f>
        <v>2.438</v>
      </c>
      <c r="C6" s="40" t="n">
        <f aca="false">Assumptions!C6</f>
        <v>2.5</v>
      </c>
      <c r="D6" s="40" t="n">
        <f aca="false">Assumptions!D6</f>
        <v>2.55</v>
      </c>
      <c r="E6" s="40" t="n">
        <f aca="false">Assumptions!E6</f>
        <v>2.5</v>
      </c>
      <c r="F6" s="40" t="n">
        <f aca="false">Assumptions!F6</f>
        <v>2.55</v>
      </c>
      <c r="G6" s="40" t="n">
        <f aca="false">Assumptions!G6</f>
        <v>2.48</v>
      </c>
      <c r="H6" s="40" t="n">
        <f aca="false">Assumptions!H6</f>
        <v>2.52</v>
      </c>
    </row>
    <row r="7" customFormat="false" ht="15" hidden="false" customHeight="false" outlineLevel="0" collapsed="false">
      <c r="A7" s="38" t="s">
        <v>134</v>
      </c>
      <c r="B7" s="39" t="n">
        <f aca="false">Assumptions!B7</f>
        <v>1645</v>
      </c>
      <c r="C7" s="39" t="n">
        <f aca="false">Assumptions!C7</f>
        <v>1850</v>
      </c>
      <c r="D7" s="39" t="n">
        <f aca="false">Assumptions!D7</f>
        <v>1800</v>
      </c>
      <c r="E7" s="39" t="n">
        <f aca="false">Assumptions!E7</f>
        <v>1900</v>
      </c>
      <c r="F7" s="39" t="n">
        <f aca="false">Assumptions!F7</f>
        <v>1900</v>
      </c>
      <c r="G7" s="39" t="n">
        <f aca="false">Assumptions!G7</f>
        <v>2000</v>
      </c>
      <c r="H7" s="39" t="n">
        <f aca="false">Assumptions!H7</f>
        <v>2050</v>
      </c>
    </row>
    <row r="8" customFormat="false" ht="15" hidden="false" customHeight="false" outlineLevel="0" collapsed="false">
      <c r="A8" s="38" t="s">
        <v>135</v>
      </c>
      <c r="B8" s="39" t="n">
        <f aca="false">Assumptions!B8</f>
        <v>1927</v>
      </c>
      <c r="C8" s="39" t="n">
        <f aca="false">Assumptions!C8</f>
        <v>2150</v>
      </c>
      <c r="D8" s="39" t="n">
        <f aca="false">Assumptions!D8</f>
        <v>2050</v>
      </c>
      <c r="E8" s="39" t="n">
        <f aca="false">Assumptions!E8</f>
        <v>2200</v>
      </c>
      <c r="F8" s="39" t="n">
        <f aca="false">Assumptions!F8</f>
        <v>2150</v>
      </c>
      <c r="G8" s="39" t="n">
        <f aca="false">Assumptions!G8</f>
        <v>2300</v>
      </c>
      <c r="H8" s="39" t="n">
        <f aca="false">Assumptions!H8</f>
        <v>2350</v>
      </c>
    </row>
    <row r="10" customFormat="false" ht="15" hidden="false" customHeight="false" outlineLevel="0" collapsed="false">
      <c r="A10" s="41" t="s">
        <v>136</v>
      </c>
      <c r="B10" s="42" t="n">
        <f aca="false">B5*B6</f>
        <v>8523.248</v>
      </c>
      <c r="C10" s="42" t="n">
        <f aca="false">C5*C6</f>
        <v>11000</v>
      </c>
      <c r="D10" s="42" t="n">
        <f aca="false">D5*D6</f>
        <v>11985</v>
      </c>
      <c r="E10" s="42" t="n">
        <f aca="false">E5*E6</f>
        <v>11250</v>
      </c>
      <c r="F10" s="42" t="n">
        <f aca="false">F5*F6</f>
        <v>12750</v>
      </c>
      <c r="G10" s="42" t="n">
        <f aca="false">G5*G6</f>
        <v>12152</v>
      </c>
      <c r="H10" s="42" t="n">
        <f aca="false">H5*H6</f>
        <v>13608</v>
      </c>
    </row>
    <row r="11" customFormat="false" ht="15" hidden="false" customHeight="false" outlineLevel="0" collapsed="false">
      <c r="A11" s="38" t="s">
        <v>137</v>
      </c>
      <c r="B11" s="43" t="n">
        <f aca="false">-B7*B6</f>
        <v>-4010.51</v>
      </c>
      <c r="C11" s="43" t="n">
        <f aca="false">-C7*C6</f>
        <v>-4625</v>
      </c>
      <c r="D11" s="43" t="n">
        <f aca="false">-D7*D6</f>
        <v>-4590</v>
      </c>
      <c r="E11" s="43" t="n">
        <f aca="false">-E7*E6</f>
        <v>-4750</v>
      </c>
      <c r="F11" s="43" t="n">
        <f aca="false">-F7*F6</f>
        <v>-4845</v>
      </c>
      <c r="G11" s="43" t="n">
        <f aca="false">-G7*G6</f>
        <v>-4960</v>
      </c>
      <c r="H11" s="43" t="n">
        <f aca="false">-H7*H6</f>
        <v>-5166</v>
      </c>
    </row>
    <row r="12" customFormat="false" ht="15" hidden="false" customHeight="false" outlineLevel="0" collapsed="false">
      <c r="A12" s="44" t="s">
        <v>138</v>
      </c>
      <c r="B12" s="45" t="n">
        <f aca="false">B10+B11</f>
        <v>4512.738</v>
      </c>
      <c r="C12" s="45" t="n">
        <f aca="false">C10+C11</f>
        <v>6375</v>
      </c>
      <c r="D12" s="45" t="n">
        <f aca="false">D10+D11</f>
        <v>7395</v>
      </c>
      <c r="E12" s="45" t="n">
        <f aca="false">E10+E11</f>
        <v>6500</v>
      </c>
      <c r="F12" s="45" t="n">
        <f aca="false">F10+F11</f>
        <v>7905</v>
      </c>
      <c r="G12" s="45" t="n">
        <f aca="false">G10+G11</f>
        <v>7192</v>
      </c>
      <c r="H12" s="45" t="n">
        <f aca="false">H10+H11</f>
        <v>8442</v>
      </c>
    </row>
    <row r="13" customFormat="false" ht="15" hidden="false" customHeight="false" outlineLevel="0" collapsed="false">
      <c r="A13" s="38" t="s">
        <v>139</v>
      </c>
      <c r="B13" s="46" t="n">
        <f aca="false">Assumptions!B9</f>
        <v>1029</v>
      </c>
      <c r="C13" s="46" t="n">
        <f aca="false">Assumptions!C9</f>
        <v>1350</v>
      </c>
      <c r="D13" s="46" t="n">
        <f aca="false">Assumptions!D9</f>
        <v>1300</v>
      </c>
      <c r="E13" s="46" t="n">
        <f aca="false">Assumptions!E9</f>
        <v>1350</v>
      </c>
      <c r="F13" s="46" t="n">
        <f aca="false">Assumptions!F9</f>
        <v>1300</v>
      </c>
      <c r="G13" s="46" t="n">
        <f aca="false">Assumptions!G9</f>
        <v>1380</v>
      </c>
      <c r="H13" s="46" t="n">
        <f aca="false">Assumptions!H9</f>
        <v>1330</v>
      </c>
    </row>
    <row r="14" customFormat="false" ht="15" hidden="false" customHeight="false" outlineLevel="0" collapsed="false">
      <c r="A14" s="41" t="s">
        <v>140</v>
      </c>
      <c r="B14" s="47" t="n">
        <f aca="false">B12+B13</f>
        <v>5541.738</v>
      </c>
      <c r="C14" s="47" t="n">
        <f aca="false">C12+C13</f>
        <v>7725</v>
      </c>
      <c r="D14" s="47" t="n">
        <f aca="false">D12+D13</f>
        <v>8695</v>
      </c>
      <c r="E14" s="47" t="n">
        <f aca="false">E12+E13</f>
        <v>7850</v>
      </c>
      <c r="F14" s="47" t="n">
        <f aca="false">F12+F13</f>
        <v>9205</v>
      </c>
      <c r="G14" s="47" t="n">
        <f aca="false">G12+G13</f>
        <v>8572</v>
      </c>
      <c r="H14" s="47" t="n">
        <f aca="false">H12+H13</f>
        <v>9772</v>
      </c>
    </row>
    <row r="15" customFormat="false" ht="15" hidden="false" customHeight="false" outlineLevel="0" collapsed="false">
      <c r="A15" s="38" t="s">
        <v>141</v>
      </c>
      <c r="B15" s="48" t="n">
        <f aca="false">B14/B10</f>
        <v>0.650190866204996</v>
      </c>
      <c r="C15" s="48" t="n">
        <f aca="false">C14/C10</f>
        <v>0.702272727272727</v>
      </c>
      <c r="D15" s="48" t="n">
        <f aca="false">D14/D10</f>
        <v>0.725490196078431</v>
      </c>
      <c r="E15" s="48" t="n">
        <f aca="false">E14/E10</f>
        <v>0.697777777777778</v>
      </c>
      <c r="F15" s="48" t="n">
        <f aca="false">F14/F10</f>
        <v>0.721960784313726</v>
      </c>
      <c r="G15" s="48" t="n">
        <f aca="false">G14/G10</f>
        <v>0.705398288347597</v>
      </c>
      <c r="H15" s="48" t="n">
        <f aca="false">H14/H10</f>
        <v>0.718106995884774</v>
      </c>
    </row>
    <row r="17" customFormat="false" ht="15" hidden="false" customHeight="false" outlineLevel="0" collapsed="false">
      <c r="A17" s="41" t="s">
        <v>142</v>
      </c>
      <c r="B17" s="42" t="n">
        <f aca="false">B10-B8*B6</f>
        <v>3825.222</v>
      </c>
      <c r="C17" s="42" t="n">
        <f aca="false">C10-C8*C6</f>
        <v>5625</v>
      </c>
      <c r="D17" s="42" t="n">
        <f aca="false">D10-D8*D6</f>
        <v>6757.5</v>
      </c>
      <c r="E17" s="42" t="n">
        <f aca="false">E10-E8*E6</f>
        <v>5750</v>
      </c>
      <c r="F17" s="42" t="n">
        <f aca="false">F10-F8*F6</f>
        <v>7267.5</v>
      </c>
      <c r="G17" s="42" t="n">
        <f aca="false">G10-G8*G6</f>
        <v>6448</v>
      </c>
      <c r="H17" s="42" t="n">
        <f aca="false">H10-H8*H6</f>
        <v>7686</v>
      </c>
    </row>
    <row r="18" customFormat="false" ht="15" hidden="false" customHeight="false" outlineLevel="0" collapsed="false">
      <c r="A18" s="38" t="s">
        <v>143</v>
      </c>
      <c r="B18" s="43" t="n">
        <f aca="false">-B17*Assumptions!B10</f>
        <v>-1185.81882</v>
      </c>
      <c r="C18" s="43" t="n">
        <f aca="false">-C17*Assumptions!C10</f>
        <v>-1687.5</v>
      </c>
      <c r="D18" s="43" t="n">
        <f aca="false">-D17*Assumptions!D10</f>
        <v>-2027.25</v>
      </c>
      <c r="E18" s="43" t="n">
        <f aca="false">-E17*Assumptions!E10</f>
        <v>-1725</v>
      </c>
      <c r="F18" s="43" t="n">
        <f aca="false">-F17*Assumptions!F10</f>
        <v>-2180.25</v>
      </c>
      <c r="G18" s="43" t="n">
        <f aca="false">-G17*Assumptions!G10</f>
        <v>-1934.4</v>
      </c>
      <c r="H18" s="43" t="n">
        <f aca="false">-H17*Assumptions!H10</f>
        <v>-2305.8</v>
      </c>
    </row>
    <row r="19" customFormat="false" ht="15" hidden="false" customHeight="false" outlineLevel="0" collapsed="false">
      <c r="A19" s="41" t="s">
        <v>144</v>
      </c>
      <c r="B19" s="47" t="n">
        <f aca="false">B17+B18</f>
        <v>2639.40318</v>
      </c>
      <c r="C19" s="47" t="n">
        <f aca="false">C17+C18</f>
        <v>3937.5</v>
      </c>
      <c r="D19" s="47" t="n">
        <f aca="false">D17+D18</f>
        <v>4730.25</v>
      </c>
      <c r="E19" s="47" t="n">
        <f aca="false">E17+E18</f>
        <v>4025</v>
      </c>
      <c r="F19" s="47" t="n">
        <f aca="false">F17+F18</f>
        <v>5087.25</v>
      </c>
      <c r="G19" s="47" t="n">
        <f aca="false">G17+G18</f>
        <v>4513.6</v>
      </c>
      <c r="H19" s="47" t="n">
        <f aca="false">H17+H18</f>
        <v>5380.2</v>
      </c>
    </row>
    <row r="20" customFormat="false" ht="15" hidden="false" customHeight="false" outlineLevel="0" collapsed="false">
      <c r="A20" s="38" t="s">
        <v>145</v>
      </c>
      <c r="B20" s="43" t="n">
        <f aca="false">B19*Assumptions!B11</f>
        <v>1425.2777172</v>
      </c>
      <c r="C20" s="43" t="n">
        <f aca="false">C19*Assumptions!C11</f>
        <v>1771.875</v>
      </c>
      <c r="D20" s="43" t="n">
        <f aca="false">D19*Assumptions!D11</f>
        <v>2128.6125</v>
      </c>
      <c r="E20" s="43" t="n">
        <f aca="false">E19*Assumptions!E11</f>
        <v>1811.25</v>
      </c>
      <c r="F20" s="43" t="n">
        <f aca="false">F19*Assumptions!F11</f>
        <v>2289.2625</v>
      </c>
      <c r="G20" s="43" t="n">
        <f aca="false">G19*Assumptions!G11</f>
        <v>1805.44</v>
      </c>
      <c r="H20" s="43" t="n">
        <f aca="false">H19*Assumptions!H11</f>
        <v>2152.08</v>
      </c>
    </row>
    <row r="22" customFormat="false" ht="15" hidden="false" customHeight="false" outlineLevel="0" collapsed="false">
      <c r="A22" s="38" t="s">
        <v>146</v>
      </c>
      <c r="B22" s="49" t="n">
        <f aca="false">B10*Assumptions!B12/1000</f>
        <v>155.9754384</v>
      </c>
      <c r="C22" s="49" t="n">
        <f aca="false">C10*Assumptions!C12/1000</f>
        <v>198</v>
      </c>
      <c r="D22" s="49" t="n">
        <f aca="false">D10*Assumptions!D12/1000</f>
        <v>213.333</v>
      </c>
      <c r="E22" s="49" t="n">
        <f aca="false">E10*Assumptions!E12/1000</f>
        <v>208.125</v>
      </c>
      <c r="F22" s="49" t="n">
        <f aca="false">F10*Assumptions!F12/1000</f>
        <v>235.875</v>
      </c>
      <c r="G22" s="49" t="n">
        <f aca="false">G10*Assumptions!G12/1000</f>
        <v>236.964</v>
      </c>
      <c r="H22" s="49" t="n">
        <f aca="false">H10*Assumptions!H12/1000</f>
        <v>269.4384</v>
      </c>
    </row>
    <row r="23" customFormat="false" ht="15" hidden="false" customHeight="false" outlineLevel="0" collapsed="false">
      <c r="A23" s="38" t="s">
        <v>147</v>
      </c>
      <c r="B23" s="49" t="n">
        <f aca="false">B14*Assumptions!B12/1000</f>
        <v>101.4138054</v>
      </c>
      <c r="C23" s="49" t="n">
        <f aca="false">C14*Assumptions!C12/1000</f>
        <v>139.05</v>
      </c>
      <c r="D23" s="49" t="n">
        <f aca="false">D14*Assumptions!D12/1000</f>
        <v>154.771</v>
      </c>
      <c r="E23" s="49" t="n">
        <f aca="false">E14*Assumptions!E12/1000</f>
        <v>145.225</v>
      </c>
      <c r="F23" s="49" t="n">
        <f aca="false">F14*Assumptions!F12/1000</f>
        <v>170.2925</v>
      </c>
      <c r="G23" s="49" t="n">
        <f aca="false">G14*Assumptions!G12/1000</f>
        <v>167.154</v>
      </c>
      <c r="H23" s="49" t="n">
        <f aca="false">H14*Assumptions!H12/1000</f>
        <v>193.4856</v>
      </c>
    </row>
    <row r="25" customFormat="false" ht="15" hidden="false" customHeight="false" outlineLevel="0" collapsed="false">
      <c r="A25" s="50" t="s">
        <v>148</v>
      </c>
      <c r="B25" s="51" t="s">
        <v>78</v>
      </c>
      <c r="C25" s="52" t="n">
        <f aca="false">C14/$B$14-1</f>
        <v>0.393967019011003</v>
      </c>
      <c r="D25" s="52" t="n">
        <f aca="false">D14/$B$14-1</f>
        <v>0.569002359909472</v>
      </c>
      <c r="E25" s="52" t="n">
        <f aca="false">E14/$B$14-1</f>
        <v>0.416523119642249</v>
      </c>
      <c r="F25" s="52" t="n">
        <f aca="false">F14/$B$14-1</f>
        <v>0.661031250484956</v>
      </c>
      <c r="G25" s="52" t="n">
        <f aca="false">G14/$B$14-1</f>
        <v>0.546807156888326</v>
      </c>
      <c r="H25" s="52" t="n">
        <f aca="false">H14/$B$14-1</f>
        <v>0.763345722948288</v>
      </c>
    </row>
    <row r="26" customFormat="false" ht="15" hidden="false" customHeight="false" outlineLevel="0" collapsed="false">
      <c r="A26" s="53" t="s">
        <v>149</v>
      </c>
      <c r="B26" s="54" t="s">
        <v>78</v>
      </c>
      <c r="C26" s="48" t="n">
        <f aca="false">C19/$B$19-1</f>
        <v>0.491814524524442</v>
      </c>
      <c r="D26" s="48" t="n">
        <f aca="false">D19/$B$19-1</f>
        <v>0.792166515462029</v>
      </c>
      <c r="E26" s="48" t="n">
        <f aca="false">E19/$B$19-1</f>
        <v>0.524965958402763</v>
      </c>
      <c r="F26" s="48" t="n">
        <f aca="false">F19/$B$19-1</f>
        <v>0.927424365685579</v>
      </c>
      <c r="G26" s="48" t="n">
        <f aca="false">G19/$B$19-1</f>
        <v>0.710083565179307</v>
      </c>
      <c r="H26" s="48" t="n">
        <f aca="false">H19/$B$19-1</f>
        <v>1.0384153663102</v>
      </c>
    </row>
    <row r="29" customFormat="false" ht="15" hidden="false" customHeight="false" outlineLevel="0" collapsed="false">
      <c r="A29" s="4" t="s">
        <v>150</v>
      </c>
    </row>
    <row r="30" customFormat="false" ht="15" hidden="false" customHeight="false" outlineLevel="0" collapsed="false">
      <c r="B30" s="28" t="s">
        <v>113</v>
      </c>
      <c r="C30" s="28" t="s">
        <v>114</v>
      </c>
    </row>
    <row r="31" customFormat="false" ht="15" hidden="false" customHeight="false" outlineLevel="0" collapsed="false">
      <c r="A31" s="38" t="s">
        <v>109</v>
      </c>
      <c r="B31" s="43" t="n">
        <f aca="false">C14</f>
        <v>7725</v>
      </c>
      <c r="C31" s="43" t="n">
        <f aca="false">D14</f>
        <v>8695</v>
      </c>
    </row>
    <row r="32" customFormat="false" ht="15" hidden="false" customHeight="false" outlineLevel="0" collapsed="false">
      <c r="A32" s="38" t="s">
        <v>110</v>
      </c>
      <c r="B32" s="43" t="n">
        <f aca="false">E14</f>
        <v>7850</v>
      </c>
      <c r="C32" s="43" t="n">
        <f aca="false">F14</f>
        <v>9205</v>
      </c>
    </row>
    <row r="33" customFormat="false" ht="15" hidden="false" customHeight="false" outlineLevel="0" collapsed="false">
      <c r="A33" s="38" t="s">
        <v>111</v>
      </c>
      <c r="B33" s="43" t="n">
        <f aca="false">G14</f>
        <v>8572</v>
      </c>
      <c r="C33" s="43" t="n">
        <f aca="false">H14</f>
        <v>9772</v>
      </c>
    </row>
    <row r="45" customFormat="false" ht="15" hidden="false" customHeight="false" outlineLevel="0" collapsed="false">
      <c r="A45" s="4" t="s">
        <v>151</v>
      </c>
    </row>
    <row r="46" customFormat="false" ht="15" hidden="false" customHeight="false" outlineLevel="0" collapsed="false">
      <c r="A46" s="38" t="s">
        <v>152</v>
      </c>
      <c r="B46" s="45" t="n">
        <f aca="false">100*$E$6</f>
        <v>250</v>
      </c>
      <c r="C46" s="3" t="s">
        <v>153</v>
      </c>
    </row>
    <row r="47" customFormat="false" ht="15" hidden="false" customHeight="false" outlineLevel="0" collapsed="false">
      <c r="A47" s="38" t="s">
        <v>154</v>
      </c>
      <c r="B47" s="45" t="n">
        <f aca="false">-100*$E$6</f>
        <v>-250</v>
      </c>
      <c r="C47" s="3" t="s">
        <v>153</v>
      </c>
    </row>
    <row r="49" customFormat="false" ht="15" hidden="false" customHeight="false" outlineLevel="0" collapsed="false">
      <c r="A49" s="55" t="s">
        <v>155</v>
      </c>
    </row>
  </sheetData>
  <mergeCells count="3">
    <mergeCell ref="C3:D3"/>
    <mergeCell ref="E3:F3"/>
    <mergeCell ref="G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8" t="s">
        <v>156</v>
      </c>
    </row>
    <row r="3" customFormat="false" ht="15" hidden="false" customHeight="false" outlineLevel="0" collapsed="false">
      <c r="A3" s="4" t="s">
        <v>157</v>
      </c>
    </row>
    <row r="4" customFormat="false" ht="15" hidden="false" customHeight="false" outlineLevel="0" collapsed="false">
      <c r="A4" s="38" t="s">
        <v>158</v>
      </c>
      <c r="B4" s="56" t="s">
        <v>159</v>
      </c>
      <c r="C4" s="3" t="s">
        <v>160</v>
      </c>
    </row>
    <row r="5" customFormat="false" ht="15" hidden="false" customHeight="false" outlineLevel="0" collapsed="false">
      <c r="A5" s="38" t="s">
        <v>161</v>
      </c>
      <c r="B5" s="56" t="s">
        <v>162</v>
      </c>
      <c r="C5" s="3"/>
    </row>
    <row r="6" customFormat="false" ht="15" hidden="false" customHeight="false" outlineLevel="0" collapsed="false">
      <c r="A6" s="38" t="s">
        <v>163</v>
      </c>
      <c r="B6" s="56" t="s">
        <v>164</v>
      </c>
      <c r="C6" s="3"/>
    </row>
    <row r="7" customFormat="false" ht="15" hidden="false" customHeight="false" outlineLevel="0" collapsed="false">
      <c r="A7" s="38" t="s">
        <v>165</v>
      </c>
      <c r="B7" s="56" t="s">
        <v>166</v>
      </c>
      <c r="C7" s="3" t="s">
        <v>167</v>
      </c>
    </row>
    <row r="8" customFormat="false" ht="15" hidden="false" customHeight="false" outlineLevel="0" collapsed="false">
      <c r="A8" s="38" t="s">
        <v>168</v>
      </c>
      <c r="B8" s="56" t="s">
        <v>169</v>
      </c>
      <c r="C8" s="3" t="s">
        <v>170</v>
      </c>
    </row>
    <row r="9" customFormat="false" ht="15" hidden="false" customHeight="false" outlineLevel="0" collapsed="false">
      <c r="A9" s="38" t="s">
        <v>171</v>
      </c>
      <c r="B9" s="56" t="s">
        <v>172</v>
      </c>
      <c r="C9" s="3" t="s">
        <v>173</v>
      </c>
    </row>
    <row r="10" customFormat="false" ht="15" hidden="false" customHeight="false" outlineLevel="0" collapsed="false">
      <c r="A10" s="38" t="s">
        <v>174</v>
      </c>
      <c r="B10" s="56" t="s">
        <v>175</v>
      </c>
      <c r="C10" s="3" t="s">
        <v>176</v>
      </c>
    </row>
    <row r="11" customFormat="false" ht="15" hidden="false" customHeight="false" outlineLevel="0" collapsed="false">
      <c r="A11" s="38" t="s">
        <v>177</v>
      </c>
      <c r="B11" s="56" t="s">
        <v>178</v>
      </c>
      <c r="C11" s="3" t="s">
        <v>179</v>
      </c>
    </row>
    <row r="12" customFormat="false" ht="15" hidden="false" customHeight="false" outlineLevel="0" collapsed="false">
      <c r="A12" s="38" t="s">
        <v>180</v>
      </c>
      <c r="B12" s="56" t="s">
        <v>181</v>
      </c>
      <c r="C12" s="3" t="s">
        <v>182</v>
      </c>
    </row>
    <row r="14" customFormat="false" ht="15" hidden="false" customHeight="false" outlineLevel="0" collapsed="false">
      <c r="A14" s="4" t="s">
        <v>183</v>
      </c>
    </row>
    <row r="15" customFormat="false" ht="15" hidden="false" customHeight="false" outlineLevel="0" collapsed="false">
      <c r="A15" s="38" t="s">
        <v>184</v>
      </c>
      <c r="B15" s="56" t="s">
        <v>185</v>
      </c>
      <c r="C15" s="3"/>
    </row>
    <row r="16" customFormat="false" ht="15" hidden="false" customHeight="false" outlineLevel="0" collapsed="false">
      <c r="A16" s="38" t="s">
        <v>186</v>
      </c>
      <c r="B16" s="56" t="s">
        <v>187</v>
      </c>
      <c r="C16" s="3" t="s">
        <v>188</v>
      </c>
    </row>
    <row r="17" customFormat="false" ht="15" hidden="false" customHeight="false" outlineLevel="0" collapsed="false">
      <c r="A17" s="38" t="s">
        <v>189</v>
      </c>
      <c r="B17" s="56" t="s">
        <v>190</v>
      </c>
      <c r="C17" s="3" t="s">
        <v>170</v>
      </c>
    </row>
    <row r="18" customFormat="false" ht="15" hidden="false" customHeight="false" outlineLevel="0" collapsed="false">
      <c r="A18" s="38" t="s">
        <v>191</v>
      </c>
      <c r="B18" s="56" t="s">
        <v>192</v>
      </c>
      <c r="C18" s="3" t="s">
        <v>193</v>
      </c>
    </row>
    <row r="19" customFormat="false" ht="15" hidden="false" customHeight="false" outlineLevel="0" collapsed="false">
      <c r="A19" s="38" t="s">
        <v>194</v>
      </c>
      <c r="B19" s="56" t="s">
        <v>195</v>
      </c>
      <c r="C19" s="3" t="s">
        <v>196</v>
      </c>
    </row>
    <row r="20" customFormat="false" ht="15" hidden="false" customHeight="false" outlineLevel="0" collapsed="false">
      <c r="A20" s="38" t="s">
        <v>197</v>
      </c>
      <c r="B20" s="56" t="s">
        <v>198</v>
      </c>
      <c r="C20" s="3" t="s">
        <v>199</v>
      </c>
    </row>
    <row r="21" customFormat="false" ht="15" hidden="false" customHeight="false" outlineLevel="0" collapsed="false">
      <c r="A21" s="38" t="s">
        <v>200</v>
      </c>
      <c r="B21" s="56" t="s">
        <v>201</v>
      </c>
      <c r="C21" s="3" t="s">
        <v>182</v>
      </c>
    </row>
    <row r="22" customFormat="false" ht="15" hidden="false" customHeight="false" outlineLevel="0" collapsed="false">
      <c r="A22" s="38" t="s">
        <v>202</v>
      </c>
      <c r="B22" s="56" t="s">
        <v>203</v>
      </c>
      <c r="C22" s="3" t="s">
        <v>204</v>
      </c>
    </row>
    <row r="24" customFormat="false" ht="15" hidden="false" customHeight="false" outlineLevel="0" collapsed="false">
      <c r="A24" s="9" t="s">
        <v>205</v>
      </c>
      <c r="B24" s="9"/>
      <c r="C24" s="9"/>
      <c r="D24" s="9"/>
      <c r="E24" s="9"/>
      <c r="F24" s="9"/>
    </row>
    <row r="25" customFormat="false" ht="15" hidden="false" customHeight="false" outlineLevel="0" collapsed="false">
      <c r="A25" s="9" t="s">
        <v>206</v>
      </c>
      <c r="B25" s="9"/>
      <c r="C25" s="9"/>
      <c r="D25" s="9"/>
      <c r="E25" s="9"/>
      <c r="F25" s="9"/>
    </row>
  </sheetData>
  <mergeCells count="2"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8" t="s">
        <v>207</v>
      </c>
    </row>
    <row r="2" customFormat="false" ht="15" hidden="false" customHeight="false" outlineLevel="0" collapsed="false">
      <c r="A2" s="25" t="s">
        <v>208</v>
      </c>
    </row>
    <row r="4" customFormat="false" ht="15" hidden="false" customHeight="false" outlineLevel="0" collapsed="false">
      <c r="A4" s="57" t="s">
        <v>209</v>
      </c>
      <c r="B4" s="26" t="s">
        <v>210</v>
      </c>
      <c r="C4" s="26" t="s">
        <v>211</v>
      </c>
      <c r="D4" s="26" t="s">
        <v>212</v>
      </c>
    </row>
    <row r="5" customFormat="false" ht="15" hidden="false" customHeight="false" outlineLevel="0" collapsed="false">
      <c r="A5" s="38" t="s">
        <v>136</v>
      </c>
      <c r="B5" s="43" t="n">
        <v>8751</v>
      </c>
      <c r="C5" s="43" t="n">
        <v>5202</v>
      </c>
      <c r="D5" s="58" t="n">
        <f aca="false">B5/C5-1</f>
        <v>0.682237600922722</v>
      </c>
    </row>
    <row r="6" customFormat="false" ht="15" hidden="false" customHeight="false" outlineLevel="0" collapsed="false">
      <c r="A6" s="38" t="s">
        <v>213</v>
      </c>
      <c r="B6" s="59" t="n">
        <v>3496</v>
      </c>
      <c r="C6" s="59" t="n">
        <v>2418</v>
      </c>
      <c r="D6" s="58" t="n">
        <f aca="false">B6/C6-1</f>
        <v>0.445822994210091</v>
      </c>
    </row>
    <row r="7" customFormat="false" ht="15" hidden="false" customHeight="false" outlineLevel="0" collapsed="false">
      <c r="A7" s="38" t="s">
        <v>214</v>
      </c>
      <c r="B7" s="43" t="n">
        <v>5637</v>
      </c>
      <c r="C7" s="43" t="n">
        <v>2847</v>
      </c>
      <c r="D7" s="58" t="n">
        <f aca="false">B7/C7-1</f>
        <v>0.979978925184405</v>
      </c>
    </row>
    <row r="8" customFormat="false" ht="15" hidden="false" customHeight="false" outlineLevel="0" collapsed="false">
      <c r="A8" s="38" t="s">
        <v>215</v>
      </c>
      <c r="B8" s="43" t="n">
        <v>3567</v>
      </c>
      <c r="C8" s="43" t="n">
        <v>1245</v>
      </c>
      <c r="D8" s="58" t="n">
        <f aca="false">B8/C8-1</f>
        <v>1.86506024096386</v>
      </c>
    </row>
    <row r="9" customFormat="false" ht="15" hidden="false" customHeight="false" outlineLevel="0" collapsed="false">
      <c r="A9" s="38" t="s">
        <v>216</v>
      </c>
      <c r="B9" s="43" t="n">
        <v>2576</v>
      </c>
      <c r="C9" s="43" t="n">
        <v>1188</v>
      </c>
      <c r="D9" s="58" t="n">
        <f aca="false">B9/C9-1</f>
        <v>1.16835016835017</v>
      </c>
    </row>
    <row r="10" customFormat="false" ht="15" hidden="false" customHeight="false" outlineLevel="0" collapsed="false">
      <c r="A10" s="38" t="s">
        <v>217</v>
      </c>
      <c r="B10" s="60" t="n">
        <v>288</v>
      </c>
      <c r="C10" s="60" t="n">
        <v>133</v>
      </c>
      <c r="D10" s="58" t="n">
        <f aca="false">B10/C10-1</f>
        <v>1.16541353383459</v>
      </c>
    </row>
    <row r="11" customFormat="false" ht="15" hidden="false" customHeight="false" outlineLevel="0" collapsed="false">
      <c r="A11" s="38" t="s">
        <v>218</v>
      </c>
      <c r="B11" s="43" t="n">
        <v>2684</v>
      </c>
      <c r="C11" s="43" t="n">
        <v>1227</v>
      </c>
      <c r="D11" s="58" t="n">
        <f aca="false">B11/C11-1</f>
        <v>1.18744906275469</v>
      </c>
    </row>
    <row r="12" customFormat="false" ht="15" hidden="false" customHeight="false" outlineLevel="0" collapsed="false">
      <c r="A12" s="38" t="s">
        <v>116</v>
      </c>
      <c r="B12" s="61" t="n">
        <v>2.438</v>
      </c>
      <c r="C12" s="61" t="n">
        <v>2.071</v>
      </c>
      <c r="D12" s="58" t="n">
        <f aca="false">B12/C12-1</f>
        <v>0.177209077740222</v>
      </c>
    </row>
    <row r="13" customFormat="false" ht="15" hidden="false" customHeight="false" outlineLevel="0" collapsed="false">
      <c r="A13" s="38" t="s">
        <v>134</v>
      </c>
      <c r="B13" s="59" t="n">
        <v>1645</v>
      </c>
      <c r="C13" s="59" t="n">
        <v>1629</v>
      </c>
      <c r="D13" s="58" t="n">
        <f aca="false">B13/C13-1</f>
        <v>0.00982197667280538</v>
      </c>
    </row>
    <row r="14" customFormat="false" ht="15" hidden="false" customHeight="false" outlineLevel="0" collapsed="false">
      <c r="A14" s="38" t="s">
        <v>135</v>
      </c>
      <c r="B14" s="59" t="n">
        <v>1927</v>
      </c>
      <c r="C14" s="59" t="n">
        <v>1873</v>
      </c>
      <c r="D14" s="58" t="n">
        <f aca="false">B14/C14-1</f>
        <v>0.0288307528029899</v>
      </c>
    </row>
    <row r="15" customFormat="false" ht="15" hidden="false" customHeight="false" outlineLevel="0" collapsed="false">
      <c r="A15" s="38" t="s">
        <v>70</v>
      </c>
      <c r="B15" s="43" t="n">
        <v>2970</v>
      </c>
      <c r="C15" s="43" t="n">
        <v>605</v>
      </c>
      <c r="D15" s="58" t="n">
        <f aca="false">B15/C15-1</f>
        <v>3.90909090909091</v>
      </c>
    </row>
    <row r="16" customFormat="false" ht="15" hidden="false" customHeight="false" outlineLevel="0" collapsed="false">
      <c r="A16" s="38" t="s">
        <v>219</v>
      </c>
      <c r="B16" s="43" t="n">
        <v>1399</v>
      </c>
      <c r="C16" s="43" t="n">
        <v>1183</v>
      </c>
      <c r="D16" s="58" t="n">
        <f aca="false">B16/C16-1</f>
        <v>0.182586644125106</v>
      </c>
    </row>
    <row r="17" customFormat="false" ht="15" hidden="false" customHeight="false" outlineLevel="0" collapsed="false">
      <c r="A17" s="38" t="s">
        <v>220</v>
      </c>
      <c r="B17" s="43" t="n">
        <v>1442</v>
      </c>
      <c r="C17" s="43" t="n">
        <v>2086</v>
      </c>
      <c r="D17" s="58" t="n">
        <f aca="false">B17/C17-1</f>
        <v>-0.308724832214765</v>
      </c>
    </row>
    <row r="18" customFormat="false" ht="15" hidden="false" customHeight="false" outlineLevel="0" collapsed="false">
      <c r="A18" s="38" t="s">
        <v>221</v>
      </c>
      <c r="B18" s="62" t="n">
        <v>0.26</v>
      </c>
      <c r="C18" s="62" t="n">
        <v>0.73</v>
      </c>
      <c r="D18" s="58" t="n">
        <f aca="false">B18/C18-1</f>
        <v>-0.643835616438356</v>
      </c>
    </row>
    <row r="19" customFormat="false" ht="15" hidden="false" customHeight="false" outlineLevel="0" collapsed="false">
      <c r="A19" s="38" t="s">
        <v>222</v>
      </c>
      <c r="B19" s="60" t="n">
        <v>25.5</v>
      </c>
      <c r="C19" s="60" t="n">
        <v>11</v>
      </c>
      <c r="D19" s="58" t="n">
        <f aca="false">B19/C19-1</f>
        <v>1.31818181818182</v>
      </c>
    </row>
    <row r="21" customFormat="false" ht="15" hidden="false" customHeight="false" outlineLevel="0" collapsed="false">
      <c r="A21" s="7" t="s">
        <v>223</v>
      </c>
      <c r="B21" s="7"/>
      <c r="C21" s="7"/>
      <c r="D21" s="7"/>
      <c r="E21" s="7"/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2026-06-17T12:15:31Z</dcterms:created>
  <dc:creator>openpyxl</dc:creator>
  <dc:description/>
  <dc:language>en-US</dc:language>
  <cp:lastModifiedBy/>
  <dcterms:modified xsi:type="dcterms:W3CDTF">2026-06-17T12:15:32Z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